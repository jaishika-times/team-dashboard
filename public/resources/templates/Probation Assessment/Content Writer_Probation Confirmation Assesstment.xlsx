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_Content Writer" sheetId="1" r:id="rId5"/>
  </sheets>
  <definedNames/>
  <calcPr/>
</workbook>
</file>

<file path=xl/sharedStrings.xml><?xml version="1.0" encoding="utf-8"?>
<sst xmlns="http://schemas.openxmlformats.org/spreadsheetml/2006/main" count="61" uniqueCount="58">
  <si>
    <t>PROBATION CONFIRMATION ASSESSMENT FORM</t>
  </si>
  <si>
    <t>Name : Debbie Malinoh</t>
  </si>
  <si>
    <t>Employee ID: NA</t>
  </si>
  <si>
    <t>Position : Content Writer</t>
  </si>
  <si>
    <t>Department : Editorial</t>
  </si>
  <si>
    <t xml:space="preserve">Supervisor : </t>
  </si>
  <si>
    <t>Ian Jerome Leong</t>
  </si>
  <si>
    <t>Assesment Date : 17/11/2022</t>
  </si>
  <si>
    <t xml:space="preserve">Confirmation Assessment Criteria </t>
  </si>
  <si>
    <t>Weightage
(100%)</t>
  </si>
  <si>
    <r>
      <rPr>
        <rFont val="Arial"/>
        <b/>
        <color theme="1"/>
        <sz val="11.0"/>
      </rPr>
      <t>Probation Outcome Assessment</t>
    </r>
    <r>
      <rPr>
        <rFont val="Arial"/>
        <b/>
        <color theme="1"/>
        <sz val="9.0"/>
      </rPr>
      <t xml:space="preserve">
</t>
    </r>
    <r>
      <rPr>
        <rFont val="Arial"/>
        <b val="0"/>
        <color theme="1"/>
        <sz val="9.0"/>
      </rPr>
      <t>(Please click on the appropriate box)</t>
    </r>
  </si>
  <si>
    <t>Exceeded Expectations</t>
  </si>
  <si>
    <t>Successfully Meet Expectations</t>
  </si>
  <si>
    <t>Partially Meet Expectations</t>
  </si>
  <si>
    <t>Did Not Meet Expectations</t>
  </si>
  <si>
    <t xml:space="preserve">Consistently exceeds performance standards
</t>
  </si>
  <si>
    <t xml:space="preserve">Meet and often exceeds performance standards
</t>
  </si>
  <si>
    <r>
      <rPr>
        <rFont val="Arial"/>
        <i/>
        <color theme="1"/>
        <sz val="7.0"/>
      </rPr>
      <t>Meet but often falls short of performance standards</t>
    </r>
    <r>
      <rPr>
        <rFont val="Arial"/>
        <b/>
        <i/>
        <color theme="1"/>
        <sz val="7.0"/>
      </rPr>
      <t xml:space="preserve">
</t>
    </r>
  </si>
  <si>
    <t xml:space="preserve">Does not meet and significant improvement needed
</t>
  </si>
  <si>
    <t>Behaviour/Attitude</t>
  </si>
  <si>
    <r>
      <rPr>
        <rFont val="Arial"/>
        <b/>
        <color rgb="FF000000"/>
        <sz val="10.0"/>
      </rPr>
      <t xml:space="preserve">Deadlines </t>
    </r>
    <r>
      <rPr>
        <rFont val="Arial"/>
        <b val="0"/>
        <color rgb="FF000000"/>
        <sz val="10.0"/>
      </rPr>
      <t>- Completes all given task in a timely manner</t>
    </r>
  </si>
  <si>
    <r>
      <rPr>
        <rFont val="Arial"/>
        <b/>
        <color rgb="FF000000"/>
        <sz val="10.0"/>
      </rPr>
      <t xml:space="preserve">Initiative </t>
    </r>
    <r>
      <rPr>
        <rFont val="Arial"/>
        <b val="0"/>
        <color rgb="FF000000"/>
        <sz val="10.0"/>
      </rPr>
      <t>- Researches and constantly suggest new work ideas for better work processes</t>
    </r>
  </si>
  <si>
    <r>
      <rPr>
        <rFont val="Arial"/>
        <b/>
        <color rgb="FF000000"/>
        <sz val="10.0"/>
      </rPr>
      <t xml:space="preserve">Teamwork </t>
    </r>
    <r>
      <rPr>
        <rFont val="Arial"/>
        <b val="0"/>
        <color rgb="FF000000"/>
        <sz val="10.0"/>
      </rPr>
      <t>- Ability to develop and nurture harmonous work relationship with colleagues</t>
    </r>
  </si>
  <si>
    <r>
      <rPr>
        <rFont val="Arial"/>
        <b/>
        <color rgb="FF000000"/>
        <sz val="10.0"/>
      </rPr>
      <t xml:space="preserve">Attitude </t>
    </r>
    <r>
      <rPr>
        <rFont val="Arial"/>
        <b val="0"/>
        <color rgb="FF000000"/>
        <sz val="10.0"/>
      </rPr>
      <t>- Hardworking with high work ethics in discharging work</t>
    </r>
  </si>
  <si>
    <t>Job Knowledge</t>
  </si>
  <si>
    <r>
      <rPr>
        <rFont val="Arial"/>
        <b/>
        <color theme="1"/>
        <sz val="10.0"/>
      </rPr>
      <t>Guidelines and house styles</t>
    </r>
    <r>
      <rPr>
        <rFont val="Arial"/>
        <color theme="1"/>
        <sz val="10.0"/>
      </rPr>
      <t xml:space="preserve"> - Understanding of publication rules. E.g. Star house style, KKLIU </t>
    </r>
  </si>
  <si>
    <t>Do not delete column S, T &amp; U</t>
  </si>
  <si>
    <r>
      <rPr>
        <rFont val="Arial"/>
        <b/>
        <color theme="1"/>
        <sz val="10.0"/>
      </rPr>
      <t>Comprehension</t>
    </r>
    <r>
      <rPr>
        <rFont val="Arial"/>
        <color theme="1"/>
        <sz val="10.0"/>
      </rPr>
      <t xml:space="preserve"> - Thorough understanding of the assigned topic/industry</t>
    </r>
  </si>
  <si>
    <r>
      <rPr>
        <rFont val="Arial"/>
        <b/>
        <color theme="1"/>
        <sz val="10.0"/>
      </rPr>
      <t>Client understanding</t>
    </r>
    <r>
      <rPr>
        <rFont val="Arial"/>
        <color theme="1"/>
        <sz val="10.0"/>
      </rPr>
      <t xml:space="preserve"> - Ability to comprehend the needs of the client</t>
    </r>
  </si>
  <si>
    <r>
      <rPr>
        <rFont val="Arial"/>
        <b/>
        <color theme="1"/>
        <sz val="10.0"/>
      </rPr>
      <t>Publishing processes</t>
    </r>
    <r>
      <rPr>
        <rFont val="Arial"/>
        <color theme="1"/>
        <sz val="10.0"/>
      </rPr>
      <t xml:space="preserve"> - Understanding of the entire publishing process (from client brief to publication), along with the roles of team members involved</t>
    </r>
  </si>
  <si>
    <t>Quality of Work</t>
  </si>
  <si>
    <r>
      <rPr>
        <rFont val="Arial"/>
        <b/>
        <color theme="1"/>
        <sz val="10.0"/>
      </rPr>
      <t>Content ideation</t>
    </r>
    <r>
      <rPr>
        <rFont val="Arial"/>
        <color theme="1"/>
        <sz val="10.0"/>
      </rPr>
      <t xml:space="preserve"> - Showcasing fresh ideas in brainstorming sessions and in writing</t>
    </r>
  </si>
  <si>
    <r>
      <rPr>
        <rFont val="Arial"/>
        <b/>
        <color theme="1"/>
        <sz val="10.0"/>
      </rPr>
      <t>Attention to detail &amp; accuracy</t>
    </r>
    <r>
      <rPr>
        <rFont val="Arial"/>
        <color theme="1"/>
        <sz val="10.0"/>
      </rPr>
      <t xml:space="preserve"> - Meticulous and detailed in accomplishing the task</t>
    </r>
  </si>
  <si>
    <r>
      <rPr>
        <rFont val="Arial"/>
        <b/>
        <color theme="1"/>
        <sz val="10.0"/>
      </rPr>
      <t>Client communication</t>
    </r>
    <r>
      <rPr>
        <rFont val="Arial"/>
        <color theme="1"/>
        <sz val="10.0"/>
      </rPr>
      <t xml:space="preserve"> - Ability to respond to client's needs (inclusive of corrections) and communicate professionally and with courtesy</t>
    </r>
  </si>
  <si>
    <r>
      <rPr>
        <rFont val="Arial"/>
        <b/>
        <color theme="1"/>
        <sz val="10.0"/>
      </rPr>
      <t>Interviews</t>
    </r>
    <r>
      <rPr>
        <rFont val="Arial"/>
        <color theme="1"/>
        <sz val="10.0"/>
      </rPr>
      <t xml:space="preserve"> - Confidence and ability to conduct quality interviews, along with information gathering</t>
    </r>
  </si>
  <si>
    <t>Others</t>
  </si>
  <si>
    <r>
      <rPr>
        <rFont val="Arial"/>
        <b/>
        <color theme="1"/>
        <sz val="10.0"/>
      </rPr>
      <t>Resourcefulness &amp; creativity</t>
    </r>
    <r>
      <rPr>
        <rFont val="Arial"/>
        <color theme="1"/>
        <sz val="10.0"/>
      </rPr>
      <t xml:space="preserve"> - Initiative to understand the various industries and insert valued information to improve content readability</t>
    </r>
  </si>
  <si>
    <r>
      <rPr>
        <rFont val="Arial"/>
        <b/>
        <color theme="1"/>
        <sz val="10.0"/>
      </rPr>
      <t xml:space="preserve">Problem solving skills </t>
    </r>
    <r>
      <rPr>
        <rFont val="Arial"/>
        <color theme="1"/>
        <sz val="10.0"/>
      </rPr>
      <t>- Ability to resolve issues that pop up in an effective manner.</t>
    </r>
  </si>
  <si>
    <r>
      <rPr>
        <rFont val="Arial"/>
        <b/>
        <color theme="1"/>
        <sz val="10.0"/>
      </rPr>
      <t>Organisation</t>
    </r>
    <r>
      <rPr>
        <rFont val="Arial"/>
        <color theme="1"/>
        <sz val="10.0"/>
      </rPr>
      <t xml:space="preserve"> - Ability to multitask, prioritise workload and keep track of all duties assigned</t>
    </r>
  </si>
  <si>
    <r>
      <rPr>
        <rFont val="Arial"/>
        <b/>
        <color theme="1"/>
        <sz val="10.0"/>
      </rPr>
      <t>Initiative</t>
    </r>
    <r>
      <rPr>
        <rFont val="Arial"/>
        <color theme="1"/>
        <sz val="10.0"/>
      </rPr>
      <t xml:space="preserve"> - Eagerness to learn and self-improve. Highlighting areas and situations that are doubtful/confusing that may hamper the team.</t>
    </r>
  </si>
  <si>
    <t>Max Score</t>
  </si>
  <si>
    <t>Total Score</t>
  </si>
  <si>
    <t xml:space="preserve">Probation Outcome </t>
  </si>
  <si>
    <t>Successfully Meet Expectation</t>
  </si>
  <si>
    <t xml:space="preserve">Scoring </t>
  </si>
  <si>
    <t>85% - 100%</t>
  </si>
  <si>
    <t>70% - 84%</t>
  </si>
  <si>
    <t>50% - 69%</t>
  </si>
  <si>
    <t>Below 49%</t>
  </si>
  <si>
    <t xml:space="preserve">Decision </t>
  </si>
  <si>
    <t>Confirmed in Position</t>
  </si>
  <si>
    <t xml:space="preserve">Termination or Extend Probation </t>
  </si>
  <si>
    <t>Areas for Improvement</t>
  </si>
  <si>
    <t>Probation Externsion/Development Measures</t>
  </si>
  <si>
    <t>Employee Comments/Feedback</t>
  </si>
  <si>
    <t>Acknowledgement of Receipt</t>
  </si>
  <si>
    <t xml:space="preserve">Staff Signature : </t>
  </si>
  <si>
    <t>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</si>
</sst>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28">
    <font>
      <sz val="11.0"/>
      <color theme="1"/>
      <name val="Calibri"/>
      <scheme val="minor"/>
    </font>
    <font>
      <sz val="11.0"/>
      <color theme="1"/>
      <name val="Calibri"/>
    </font>
    <font>
      <sz val="9.0"/>
      <color rgb="FF0070C0"/>
      <name val="Calibri"/>
    </font>
    <font>
      <sz val="8.0"/>
      <color rgb="FFFF0000"/>
      <name val="Calibri"/>
    </font>
    <font>
      <b/>
      <sz val="16.0"/>
      <color theme="0"/>
      <name val="Calibri"/>
    </font>
    <font/>
    <font>
      <b/>
      <sz val="9.0"/>
      <color rgb="FF0070C0"/>
      <name val="Calibri"/>
    </font>
    <font>
      <b/>
      <sz val="11.0"/>
      <color rgb="FFFF0000"/>
      <name val="Calibri"/>
    </font>
    <font>
      <sz val="10.0"/>
      <color theme="1"/>
      <name val="Arial"/>
    </font>
    <font>
      <sz val="9.0"/>
      <color rgb="FF0070C0"/>
      <name val="Arial"/>
    </font>
    <font>
      <b/>
      <sz val="11.0"/>
      <color theme="1"/>
      <name val="Calibri"/>
    </font>
    <font>
      <b/>
      <sz val="10.0"/>
      <color theme="1"/>
      <name val="Calibri"/>
    </font>
    <font>
      <b/>
      <sz val="9.0"/>
      <color theme="1"/>
      <name val="Arial"/>
    </font>
    <font>
      <sz val="8.0"/>
      <color theme="1"/>
      <name val="Arial"/>
    </font>
    <font>
      <i/>
      <sz val="7.0"/>
      <color theme="1"/>
      <name val="Arial"/>
    </font>
    <font>
      <i/>
      <sz val="9.0"/>
      <color rgb="FF0070C0"/>
      <name val="Arial"/>
    </font>
    <font>
      <b/>
      <sz val="10.0"/>
      <color rgb="FF000000"/>
      <name val="Arial"/>
    </font>
    <font>
      <i/>
      <sz val="11.0"/>
      <color theme="1"/>
      <name val="Calibri"/>
    </font>
    <font>
      <b/>
      <sz val="10.0"/>
      <color theme="1"/>
      <name val="Arial"/>
    </font>
    <font>
      <sz val="10.0"/>
      <color theme="1"/>
      <name val="Calibri"/>
    </font>
    <font>
      <b/>
      <sz val="10.0"/>
      <color theme="0"/>
      <name val="Arial"/>
    </font>
    <font>
      <b/>
      <sz val="9.0"/>
      <color rgb="FF0070C0"/>
      <name val="Arial"/>
    </font>
    <font>
      <sz val="11.0"/>
      <color theme="0"/>
      <name val="Calibri"/>
    </font>
    <font>
      <b/>
      <sz val="8.0"/>
      <color theme="1"/>
      <name val="Calibri"/>
    </font>
    <font>
      <b/>
      <sz val="18.0"/>
      <color theme="1"/>
      <name val="Arial Black"/>
    </font>
    <font>
      <sz val="10.0"/>
      <color theme="0"/>
      <name val="Arial"/>
    </font>
    <font>
      <i/>
      <sz val="11.0"/>
      <color theme="0"/>
      <name val="Calibri"/>
    </font>
    <font>
      <b/>
      <i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</fills>
  <borders count="77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top/>
    </border>
    <border>
      <right/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</border>
    <border>
      <right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/>
    </border>
    <border>
      <right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/>
      <bottom/>
    </border>
    <border>
      <left/>
      <right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horizontal="center"/>
    </xf>
    <xf borderId="1" fillId="3" fontId="3" numFmtId="0" xfId="0" applyBorder="1" applyFill="1" applyFont="1"/>
    <xf borderId="1" fillId="3" fontId="1" numFmtId="0" xfId="0" applyBorder="1" applyFill="1" applyFont="1"/>
    <xf borderId="2" fillId="4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2" fontId="6" numFmtId="0" xfId="0" applyAlignment="1" applyBorder="1" applyFill="1" applyFont="1">
      <alignment horizontal="center" vertical="center"/>
    </xf>
    <xf borderId="5" fillId="3" fontId="7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2" fontId="8" numFmtId="0" xfId="0" applyAlignment="1" applyBorder="1" applyFill="1" applyFont="1">
      <alignment horizontal="left" vertical="center"/>
    </xf>
    <xf borderId="13" fillId="0" fontId="5" numFmtId="0" xfId="0" applyBorder="1" applyFont="1"/>
    <xf borderId="14" fillId="0" fontId="5" numFmtId="0" xfId="0" applyBorder="1" applyFont="1"/>
    <xf borderId="15" fillId="2" fontId="8" numFmtId="0" xfId="0" applyAlignment="1" applyBorder="1" applyFill="1" applyFont="1">
      <alignment horizontal="left" vertical="center"/>
    </xf>
    <xf borderId="1" fillId="2" fontId="9" numFmtId="0" xfId="0" applyAlignment="1" applyBorder="1" applyFill="1" applyFont="1">
      <alignment horizontal="center" vertical="center"/>
    </xf>
    <xf borderId="15" fillId="2" fontId="8" numFmtId="0" xfId="0" applyAlignment="1" applyBorder="1" applyFill="1" applyFont="1">
      <alignment vertical="center"/>
    </xf>
    <xf borderId="16" fillId="0" fontId="5" numFmtId="0" xfId="0" applyBorder="1" applyFont="1"/>
    <xf borderId="17" fillId="0" fontId="5" numFmtId="0" xfId="0" applyBorder="1" applyFont="1"/>
    <xf borderId="1" fillId="2" fontId="10" numFmtId="0" xfId="0" applyBorder="1" applyFill="1" applyFont="1"/>
    <xf borderId="18" fillId="2" fontId="11" numFmtId="0" xfId="0" applyAlignment="1" applyBorder="1" applyFill="1" applyFont="1">
      <alignment horizontal="center" shrinkToFit="0" vertical="center" wrapText="1"/>
    </xf>
    <xf borderId="19" fillId="0" fontId="5" numFmtId="0" xfId="0" applyBorder="1" applyFont="1"/>
    <xf borderId="20" fillId="0" fontId="5" numFmtId="0" xfId="0" applyBorder="1" applyFont="1"/>
    <xf borderId="21" fillId="2" fontId="11" numFmtId="0" xfId="0" applyAlignment="1" applyBorder="1" applyFill="1" applyFont="1">
      <alignment horizontal="center" shrinkToFit="0" vertical="center" wrapText="1"/>
    </xf>
    <xf borderId="18" fillId="2" fontId="12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28" fillId="5" fontId="13" numFmtId="0" xfId="0" applyAlignment="1" applyBorder="1" applyFill="1" applyFont="1">
      <alignment horizontal="center" shrinkToFit="0" vertical="center" wrapText="1"/>
    </xf>
    <xf borderId="29" fillId="6" fontId="13" numFmtId="0" xfId="0" applyAlignment="1" applyBorder="1" applyFill="1" applyFont="1">
      <alignment horizontal="center" shrinkToFit="0" vertical="center" wrapText="1"/>
    </xf>
    <xf borderId="29" fillId="7" fontId="13" numFmtId="0" xfId="0" applyAlignment="1" applyBorder="1" applyFill="1" applyFont="1">
      <alignment horizontal="center" shrinkToFit="0" vertical="center" wrapText="1"/>
    </xf>
    <xf borderId="30" fillId="8" fontId="13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vertical="center" wrapText="1"/>
    </xf>
    <xf borderId="31" fillId="0" fontId="5" numFmtId="0" xfId="0" applyBorder="1" applyFont="1"/>
    <xf borderId="32" fillId="0" fontId="5" numFmtId="0" xfId="0" applyBorder="1" applyFont="1"/>
    <xf borderId="33" fillId="0" fontId="5" numFmtId="0" xfId="0" applyBorder="1" applyFont="1"/>
    <xf borderId="34" fillId="2" fontId="1" numFmtId="0" xfId="0" applyBorder="1" applyFill="1" applyFont="1"/>
    <xf borderId="21" fillId="2" fontId="14" numFmtId="0" xfId="0" applyAlignment="1" applyBorder="1" applyFill="1" applyFont="1">
      <alignment horizontal="center" shrinkToFit="0" vertical="top" wrapText="1"/>
    </xf>
    <xf borderId="1" fillId="2" fontId="15" numFmtId="0" xfId="0" applyAlignment="1" applyBorder="1" applyFill="1" applyFont="1">
      <alignment horizontal="center" shrinkToFit="0" vertical="top" wrapText="1"/>
    </xf>
    <xf borderId="35" fillId="0" fontId="5" numFmtId="0" xfId="0" applyBorder="1" applyFont="1"/>
    <xf borderId="36" fillId="0" fontId="5" numFmtId="0" xfId="0" applyBorder="1" applyFont="1"/>
    <xf borderId="37" fillId="0" fontId="5" numFmtId="0" xfId="0" applyBorder="1" applyFont="1"/>
    <xf borderId="38" fillId="0" fontId="5" numFmtId="0" xfId="0" applyBorder="1" applyFont="1"/>
    <xf borderId="21" fillId="2" fontId="11" numFmtId="0" xfId="0" applyAlignment="1" applyBorder="1" applyFill="1" applyFont="1">
      <alignment horizontal="center" shrinkToFit="0" textRotation="90" vertical="center" wrapText="1"/>
    </xf>
    <xf borderId="18" fillId="3" fontId="16" numFmtId="0" xfId="0" applyAlignment="1" applyBorder="1" applyFill="1" applyFont="1">
      <alignment shrinkToFit="0" vertical="center" wrapText="1"/>
    </xf>
    <xf borderId="18" fillId="2" fontId="8" numFmtId="9" xfId="0" applyAlignment="1" applyBorder="1" applyFill="1" applyFont="1" applyNumberFormat="1">
      <alignment horizontal="center" vertical="center"/>
    </xf>
    <xf borderId="21" fillId="3" fontId="8" numFmtId="0" xfId="0" applyAlignment="1" applyBorder="1" applyFill="1" applyFont="1">
      <alignment horizontal="center" readingOrder="0" vertical="center"/>
    </xf>
    <xf borderId="6" fillId="2" fontId="9" numFmtId="0" xfId="0" applyAlignment="1" applyBorder="1" applyFill="1" applyFont="1">
      <alignment horizontal="center" shrinkToFit="0" vertical="center" wrapText="1"/>
    </xf>
    <xf borderId="39" fillId="3" fontId="3" numFmtId="0" xfId="0" applyAlignment="1" applyBorder="1" applyFill="1" applyFont="1">
      <alignment horizontal="center" vertical="center"/>
    </xf>
    <xf borderId="39" fillId="3" fontId="3" numFmtId="9" xfId="0" applyAlignment="1" applyBorder="1" applyFill="1" applyFont="1" applyNumberFormat="1">
      <alignment horizontal="center" vertical="center"/>
    </xf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43" fillId="0" fontId="5" numFmtId="0" xfId="0" applyBorder="1" applyFont="1"/>
    <xf borderId="44" fillId="3" fontId="16" numFmtId="0" xfId="0" applyAlignment="1" applyBorder="1" applyFill="1" applyFont="1">
      <alignment shrinkToFit="0" vertical="center" wrapText="1"/>
    </xf>
    <xf borderId="45" fillId="0" fontId="5" numFmtId="0" xfId="0" applyBorder="1" applyFont="1"/>
    <xf borderId="46" fillId="0" fontId="5" numFmtId="0" xfId="0" applyBorder="1" applyFont="1"/>
    <xf borderId="47" fillId="2" fontId="8" numFmtId="0" xfId="0" applyAlignment="1" applyBorder="1" applyFill="1" applyFont="1">
      <alignment horizontal="center" readingOrder="0" vertical="center"/>
    </xf>
    <xf borderId="47" fillId="2" fontId="8" numFmtId="0" xfId="0" applyAlignment="1" applyBorder="1" applyFill="1" applyFont="1">
      <alignment horizontal="center" vertical="center"/>
    </xf>
    <xf borderId="48" fillId="2" fontId="9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49" fillId="3" fontId="16" numFmtId="0" xfId="0" applyAlignment="1" applyBorder="1" applyFill="1" applyFont="1">
      <alignment shrinkToFit="0" vertical="center" wrapText="1"/>
    </xf>
    <xf borderId="50" fillId="0" fontId="5" numFmtId="0" xfId="0" applyBorder="1" applyFont="1"/>
    <xf borderId="51" fillId="0" fontId="5" numFmtId="0" xfId="0" applyBorder="1" applyFont="1"/>
    <xf borderId="52" fillId="2" fontId="11" numFmtId="0" xfId="0" applyAlignment="1" applyBorder="1" applyFill="1" applyFont="1">
      <alignment horizontal="center" shrinkToFit="0" textRotation="90" vertical="center" wrapText="1"/>
    </xf>
    <xf borderId="2" fillId="2" fontId="8" numFmtId="0" xfId="0" applyAlignment="1" applyBorder="1" applyFill="1" applyFont="1">
      <alignment horizontal="left" shrinkToFit="0" vertical="center" wrapText="1"/>
    </xf>
    <xf borderId="53" fillId="0" fontId="5" numFmtId="0" xfId="0" applyBorder="1" applyFont="1"/>
    <xf borderId="21" fillId="2" fontId="8" numFmtId="9" xfId="0" applyAlignment="1" applyBorder="1" applyFill="1" applyFont="1" applyNumberFormat="1">
      <alignment horizontal="center" vertical="center"/>
    </xf>
    <xf borderId="21" fillId="2" fontId="8" numFmtId="0" xfId="0" applyAlignment="1" applyBorder="1" applyFill="1" applyFont="1">
      <alignment horizontal="center" readingOrder="0" vertical="center"/>
    </xf>
    <xf borderId="21" fillId="2" fontId="8" numFmtId="0" xfId="0" applyAlignment="1" applyBorder="1" applyFill="1" applyFont="1">
      <alignment horizontal="center" vertical="center"/>
    </xf>
    <xf borderId="54" fillId="0" fontId="5" numFmtId="0" xfId="0" applyBorder="1" applyFont="1"/>
    <xf borderId="1" fillId="2" fontId="17" numFmtId="0" xfId="0" applyBorder="1" applyFill="1" applyFont="1"/>
    <xf borderId="55" fillId="2" fontId="8" numFmtId="0" xfId="0" applyAlignment="1" applyBorder="1" applyFill="1" applyFont="1">
      <alignment horizontal="left" shrinkToFit="0" vertical="center" wrapText="1"/>
    </xf>
    <xf borderId="56" fillId="0" fontId="5" numFmtId="0" xfId="0" applyBorder="1" applyFont="1"/>
    <xf borderId="55" fillId="2" fontId="8" numFmtId="0" xfId="0" applyAlignment="1" applyBorder="1" applyFill="1" applyFont="1">
      <alignment shrinkToFit="0" vertical="center" wrapText="1"/>
    </xf>
    <xf borderId="57" fillId="0" fontId="5" numFmtId="0" xfId="0" applyBorder="1" applyFont="1"/>
    <xf borderId="18" fillId="2" fontId="8" numFmtId="0" xfId="0" applyAlignment="1" applyBorder="1" applyFill="1" applyFont="1">
      <alignment horizontal="left" shrinkToFit="0" vertical="center" wrapText="1"/>
    </xf>
    <xf borderId="58" fillId="2" fontId="1" numFmtId="0" xfId="0" applyBorder="1" applyFill="1" applyFont="1"/>
    <xf borderId="59" fillId="2" fontId="1" numFmtId="0" xfId="0" applyBorder="1" applyFill="1" applyFont="1"/>
    <xf borderId="60" fillId="2" fontId="18" numFmtId="0" xfId="0" applyAlignment="1" applyBorder="1" applyFill="1" applyFont="1">
      <alignment horizontal="center" vertical="center"/>
    </xf>
    <xf borderId="61" fillId="0" fontId="5" numFmtId="0" xfId="0" applyBorder="1" applyFont="1"/>
    <xf borderId="62" fillId="0" fontId="5" numFmtId="0" xfId="0" applyBorder="1" applyFont="1"/>
    <xf borderId="47" fillId="9" fontId="11" numFmtId="9" xfId="0" applyAlignment="1" applyBorder="1" applyFill="1" applyFont="1" applyNumberFormat="1">
      <alignment horizontal="center" shrinkToFit="0" vertical="center" wrapText="1"/>
    </xf>
    <xf borderId="58" fillId="2" fontId="19" numFmtId="0" xfId="0" applyBorder="1" applyFill="1" applyFont="1"/>
    <xf borderId="63" fillId="0" fontId="5" numFmtId="0" xfId="0" applyBorder="1" applyFont="1"/>
    <xf borderId="47" fillId="10" fontId="20" numFmtId="9" xfId="0" applyAlignment="1" applyBorder="1" applyFill="1" applyFont="1" applyNumberFormat="1">
      <alignment horizontal="center" vertical="center"/>
    </xf>
    <xf borderId="1" fillId="2" fontId="21" numFmtId="4" xfId="0" applyAlignment="1" applyBorder="1" applyFill="1" applyFont="1" applyNumberFormat="1">
      <alignment horizontal="center" vertical="center"/>
    </xf>
    <xf borderId="1" fillId="3" fontId="3" numFmtId="0" xfId="0" applyAlignment="1" applyBorder="1" applyFill="1" applyFont="1">
      <alignment horizontal="center"/>
    </xf>
    <xf borderId="1" fillId="3" fontId="22" numFmtId="164" xfId="0" applyAlignment="1" applyBorder="1" applyFill="1" applyFont="1" applyNumberFormat="1">
      <alignment horizontal="center" shrinkToFit="0" vertical="center" wrapText="1"/>
    </xf>
    <xf borderId="1" fillId="2" fontId="23" numFmtId="0" xfId="0" applyAlignment="1" applyBorder="1" applyFill="1" applyFont="1">
      <alignment horizontal="center" shrinkToFit="0" vertical="top" wrapText="1"/>
    </xf>
    <xf borderId="1" fillId="2" fontId="6" numFmtId="0" xfId="0" applyAlignment="1" applyBorder="1" applyFill="1" applyFont="1">
      <alignment horizontal="center" shrinkToFit="0" vertical="top" wrapText="1"/>
    </xf>
    <xf borderId="2" fillId="2" fontId="18" numFmtId="0" xfId="0" applyAlignment="1" applyBorder="1" applyFill="1" applyFont="1">
      <alignment horizontal="center" shrinkToFit="0" wrapText="1"/>
    </xf>
    <xf borderId="64" fillId="2" fontId="24" numFmtId="0" xfId="0" applyAlignment="1" applyBorder="1" applyFill="1" applyFont="1">
      <alignment horizontal="center" shrinkToFit="0" vertical="center" wrapText="1"/>
    </xf>
    <xf borderId="65" fillId="2" fontId="24" numFmtId="0" xfId="0" applyAlignment="1" applyBorder="1" applyFill="1" applyFont="1">
      <alignment horizontal="center" shrinkToFit="0" vertical="center" wrapText="1"/>
    </xf>
    <xf borderId="2" fillId="2" fontId="24" numFmtId="0" xfId="0" applyAlignment="1" applyBorder="1" applyFill="1" applyFont="1">
      <alignment horizontal="center" shrinkToFit="0" vertical="center" wrapText="1"/>
    </xf>
    <xf borderId="66" fillId="0" fontId="5" numFmtId="0" xfId="0" applyBorder="1" applyFont="1"/>
    <xf borderId="67" fillId="0" fontId="5" numFmtId="0" xfId="0" applyBorder="1" applyFont="1"/>
    <xf borderId="2" fillId="2" fontId="18" numFmtId="0" xfId="0" applyAlignment="1" applyBorder="1" applyFill="1" applyFont="1">
      <alignment horizontal="center" shrinkToFit="0" vertical="center" wrapText="1"/>
    </xf>
    <xf borderId="2" fillId="4" fontId="25" numFmtId="0" xfId="0" applyAlignment="1" applyBorder="1" applyFill="1" applyFont="1">
      <alignment horizontal="center" shrinkToFit="0" vertical="center" wrapText="1"/>
    </xf>
    <xf borderId="65" fillId="6" fontId="8" numFmtId="0" xfId="0" applyAlignment="1" applyBorder="1" applyFill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 shrinkToFit="0" vertical="center" wrapText="1"/>
    </xf>
    <xf borderId="2" fillId="8" fontId="8" numFmtId="0" xfId="0" applyAlignment="1" applyBorder="1" applyFill="1" applyFont="1">
      <alignment horizontal="center" shrinkToFit="0" vertical="center" wrapText="1"/>
    </xf>
    <xf borderId="65" fillId="2" fontId="18" numFmtId="0" xfId="0" applyAlignment="1" applyBorder="1" applyFill="1" applyFont="1">
      <alignment horizontal="center" shrinkToFit="0" vertical="center" wrapText="1"/>
    </xf>
    <xf borderId="1" fillId="2" fontId="21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shrinkToFit="0" vertical="center" wrapText="1"/>
    </xf>
    <xf borderId="2" fillId="11" fontId="10" numFmtId="0" xfId="0" applyAlignment="1" applyBorder="1" applyFill="1" applyFont="1">
      <alignment horizontal="center" shrinkToFit="0" vertical="center" wrapText="1"/>
    </xf>
    <xf borderId="68" fillId="12" fontId="10" numFmtId="0" xfId="0" applyAlignment="1" applyBorder="1" applyFill="1" applyFont="1">
      <alignment horizontal="center" vertical="center"/>
    </xf>
    <xf borderId="69" fillId="0" fontId="5" numFmtId="0" xfId="0" applyBorder="1" applyFont="1"/>
    <xf borderId="48" fillId="0" fontId="5" numFmtId="0" xfId="0" applyBorder="1" applyFont="1"/>
    <xf borderId="15" fillId="2" fontId="1" numFmtId="0" xfId="0" applyBorder="1" applyFill="1" applyFont="1"/>
    <xf borderId="68" fillId="10" fontId="26" numFmtId="0" xfId="0" applyAlignment="1" applyBorder="1" applyFill="1" applyFont="1">
      <alignment horizontal="center" shrinkToFit="0" vertical="center" wrapText="1"/>
    </xf>
    <xf borderId="70" fillId="2" fontId="27" numFmtId="0" xfId="0" applyBorder="1" applyFill="1" applyFont="1"/>
    <xf borderId="71" fillId="2" fontId="17" numFmtId="0" xfId="0" applyBorder="1" applyFill="1" applyFont="1"/>
    <xf borderId="71" fillId="2" fontId="1" numFmtId="0" xfId="0" applyBorder="1" applyFill="1" applyFont="1"/>
    <xf borderId="72" fillId="2" fontId="1" numFmtId="0" xfId="0" applyBorder="1" applyFill="1" applyFont="1"/>
    <xf borderId="73" fillId="2" fontId="1" numFmtId="0" xfId="0" applyBorder="1" applyFill="1" applyFont="1"/>
    <xf borderId="74" fillId="2" fontId="1" numFmtId="0" xfId="0" applyBorder="1" applyFill="1" applyFont="1"/>
    <xf borderId="68" fillId="2" fontId="1" numFmtId="0" xfId="0" applyAlignment="1" applyBorder="1" applyFill="1" applyFont="1">
      <alignment horizontal="center"/>
    </xf>
    <xf borderId="75" fillId="2" fontId="1" numFmtId="0" xfId="0" applyBorder="1" applyFill="1" applyFont="1"/>
    <xf borderId="76" fillId="2" fontId="1" numFmtId="0" xfId="0" applyBorder="1" applyFill="1" applyFont="1"/>
  </cellXfs>
  <cellStyles count="1">
    <cellStyle xfId="0" name="Normal" builtinId="0"/>
  </cellStyles>
  <dxfs count="7">
    <dxf>
      <font>
        <b/>
        <color theme="0"/>
      </font>
      <fill>
        <patternFill patternType="solid">
          <fgColor rgb="FF00B050"/>
          <bgColor rgb="FF00B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.29"/>
    <col customWidth="1" min="3" max="3" width="8.14"/>
    <col customWidth="1" min="4" max="5" width="4.86"/>
    <col customWidth="1" min="6" max="7" width="4.71"/>
    <col customWidth="1" min="8" max="8" width="5.14"/>
    <col customWidth="1" min="9" max="9" width="3.14"/>
    <col customWidth="1" min="10" max="10" width="10.14"/>
    <col customWidth="1" min="11" max="11" width="2.57"/>
    <col customWidth="1" min="12" max="12" width="5.29"/>
    <col customWidth="1" min="13" max="13" width="18.29"/>
    <col customWidth="1" min="14" max="14" width="10.29"/>
    <col customWidth="1" min="15" max="17" width="9.71"/>
    <col customWidth="1" min="18" max="18" width="15.29"/>
    <col customWidth="1" min="19" max="19" width="5.29"/>
    <col customWidth="1" min="20" max="20" width="6.43"/>
    <col customWidth="1" min="21" max="26" width="9.14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3"/>
      <c r="T1" s="3"/>
      <c r="U1" s="4"/>
      <c r="V1" s="1"/>
      <c r="W1" s="1"/>
      <c r="X1" s="1"/>
      <c r="Y1" s="1"/>
      <c r="Z1" s="1"/>
    </row>
    <row r="2" ht="3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3"/>
      <c r="T2" s="3"/>
      <c r="U2" s="4"/>
      <c r="V2" s="1"/>
      <c r="W2" s="1"/>
      <c r="X2" s="1"/>
      <c r="Y2" s="1"/>
      <c r="Z2" s="1"/>
    </row>
    <row r="3" ht="15.0" customHeight="1">
      <c r="A3" s="1"/>
      <c r="B3" s="1"/>
      <c r="C3" s="5" t="s"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8"/>
      <c r="S3" s="9"/>
      <c r="T3" s="10"/>
      <c r="U3" s="4"/>
      <c r="V3" s="1"/>
      <c r="W3" s="1"/>
      <c r="X3" s="1"/>
      <c r="Y3" s="1"/>
      <c r="Z3" s="1"/>
    </row>
    <row r="4" ht="15.0" customHeight="1">
      <c r="A4" s="1"/>
      <c r="B4" s="1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3"/>
      <c r="R4" s="8"/>
      <c r="S4" s="14"/>
      <c r="T4" s="15"/>
      <c r="U4" s="4"/>
      <c r="V4" s="1"/>
      <c r="W4" s="1"/>
      <c r="X4" s="1"/>
      <c r="Y4" s="1"/>
      <c r="Z4" s="1"/>
    </row>
    <row r="5" ht="11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14"/>
      <c r="T5" s="15"/>
      <c r="U5" s="4"/>
      <c r="V5" s="1"/>
      <c r="W5" s="1"/>
      <c r="X5" s="1"/>
      <c r="Y5" s="1"/>
      <c r="Z5" s="1"/>
    </row>
    <row r="6" ht="18.0" customHeight="1">
      <c r="A6" s="1"/>
      <c r="B6" s="1"/>
      <c r="C6" s="16" t="s">
        <v>1</v>
      </c>
      <c r="D6" s="17"/>
      <c r="E6" s="17"/>
      <c r="F6" s="17"/>
      <c r="G6" s="18"/>
      <c r="H6" s="19"/>
      <c r="I6" s="19"/>
      <c r="J6" s="19"/>
      <c r="K6" s="19"/>
      <c r="L6" s="19"/>
      <c r="M6" s="16" t="s">
        <v>2</v>
      </c>
      <c r="N6" s="17"/>
      <c r="O6" s="17"/>
      <c r="P6" s="17"/>
      <c r="Q6" s="18"/>
      <c r="R6" s="20"/>
      <c r="S6" s="14"/>
      <c r="T6" s="15"/>
      <c r="U6" s="4"/>
      <c r="V6" s="1"/>
      <c r="W6" s="1"/>
      <c r="X6" s="1"/>
      <c r="Y6" s="1"/>
      <c r="Z6" s="1"/>
    </row>
    <row r="7" ht="18.0" customHeight="1">
      <c r="A7" s="1"/>
      <c r="B7" s="1"/>
      <c r="C7" s="16" t="s">
        <v>3</v>
      </c>
      <c r="D7" s="17"/>
      <c r="E7" s="17"/>
      <c r="F7" s="17"/>
      <c r="G7" s="18"/>
      <c r="H7" s="19"/>
      <c r="I7" s="19"/>
      <c r="J7" s="19"/>
      <c r="K7" s="19"/>
      <c r="L7" s="19"/>
      <c r="M7" s="16" t="s">
        <v>4</v>
      </c>
      <c r="N7" s="17"/>
      <c r="O7" s="17"/>
      <c r="P7" s="17"/>
      <c r="Q7" s="18"/>
      <c r="R7" s="20"/>
      <c r="S7" s="14"/>
      <c r="T7" s="15"/>
      <c r="U7" s="4"/>
      <c r="V7" s="1"/>
      <c r="W7" s="1"/>
      <c r="X7" s="1"/>
      <c r="Y7" s="1"/>
      <c r="Z7" s="1"/>
    </row>
    <row r="8" ht="18.0" customHeight="1">
      <c r="A8" s="1"/>
      <c r="B8" s="1"/>
      <c r="C8" s="21" t="s">
        <v>5</v>
      </c>
      <c r="D8" s="21"/>
      <c r="E8" s="21" t="s">
        <v>6</v>
      </c>
      <c r="F8" s="21"/>
      <c r="G8" s="21"/>
      <c r="H8" s="19"/>
      <c r="I8" s="19"/>
      <c r="J8" s="19"/>
      <c r="K8" s="19"/>
      <c r="L8" s="19"/>
      <c r="M8" s="16" t="s">
        <v>7</v>
      </c>
      <c r="N8" s="17"/>
      <c r="O8" s="17"/>
      <c r="P8" s="17"/>
      <c r="Q8" s="18"/>
      <c r="R8" s="20"/>
      <c r="S8" s="22"/>
      <c r="T8" s="23"/>
      <c r="U8" s="4"/>
      <c r="V8" s="1"/>
      <c r="W8" s="1"/>
      <c r="X8" s="1"/>
      <c r="Y8" s="1"/>
      <c r="Z8" s="1"/>
    </row>
    <row r="9" ht="21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4"/>
      <c r="O9" s="1"/>
      <c r="P9" s="1"/>
      <c r="Q9" s="1"/>
      <c r="R9" s="2"/>
      <c r="S9" s="3"/>
      <c r="T9" s="3"/>
      <c r="U9" s="4"/>
      <c r="V9" s="1"/>
      <c r="W9" s="1"/>
      <c r="X9" s="1"/>
      <c r="Y9" s="1"/>
      <c r="Z9" s="1"/>
    </row>
    <row r="10" ht="15.0" customHeight="1">
      <c r="A10" s="1"/>
      <c r="B10" s="1"/>
      <c r="C10" s="25" t="s">
        <v>8</v>
      </c>
      <c r="D10" s="26"/>
      <c r="E10" s="26"/>
      <c r="F10" s="26"/>
      <c r="G10" s="26"/>
      <c r="H10" s="26"/>
      <c r="I10" s="26"/>
      <c r="J10" s="26"/>
      <c r="K10" s="26"/>
      <c r="L10" s="27"/>
      <c r="M10" s="28" t="s">
        <v>9</v>
      </c>
      <c r="N10" s="29" t="s">
        <v>10</v>
      </c>
      <c r="O10" s="26"/>
      <c r="P10" s="26"/>
      <c r="Q10" s="27"/>
      <c r="R10" s="30"/>
      <c r="S10" s="3"/>
      <c r="T10" s="3"/>
      <c r="U10" s="4"/>
      <c r="V10" s="1"/>
      <c r="W10" s="1"/>
      <c r="X10" s="1"/>
      <c r="Y10" s="1"/>
      <c r="Z10" s="1"/>
    </row>
    <row r="11" ht="14.25" customHeight="1">
      <c r="A11" s="1"/>
      <c r="B11" s="1"/>
      <c r="C11" s="31"/>
      <c r="L11" s="32"/>
      <c r="M11" s="33"/>
      <c r="N11" s="34"/>
      <c r="O11" s="35"/>
      <c r="P11" s="35"/>
      <c r="Q11" s="36"/>
      <c r="R11" s="30"/>
      <c r="S11" s="3"/>
      <c r="T11" s="3"/>
      <c r="U11" s="4"/>
      <c r="V11" s="1"/>
      <c r="W11" s="1"/>
      <c r="X11" s="1"/>
      <c r="Y11" s="1"/>
      <c r="Z11" s="1"/>
    </row>
    <row r="12" ht="15.0" customHeight="1">
      <c r="A12" s="1"/>
      <c r="B12" s="1"/>
      <c r="C12" s="31"/>
      <c r="L12" s="32"/>
      <c r="M12" s="33"/>
      <c r="N12" s="37" t="s">
        <v>11</v>
      </c>
      <c r="O12" s="38" t="s">
        <v>12</v>
      </c>
      <c r="P12" s="39" t="s">
        <v>13</v>
      </c>
      <c r="Q12" s="40" t="s">
        <v>14</v>
      </c>
      <c r="R12" s="41"/>
      <c r="S12" s="3"/>
      <c r="T12" s="3"/>
      <c r="U12" s="4"/>
      <c r="V12" s="1"/>
      <c r="W12" s="1"/>
      <c r="X12" s="1"/>
      <c r="Y12" s="1"/>
      <c r="Z12" s="1"/>
    </row>
    <row r="13" ht="24.0" customHeight="1">
      <c r="A13" s="1"/>
      <c r="B13" s="1"/>
      <c r="C13" s="31"/>
      <c r="L13" s="32"/>
      <c r="M13" s="33"/>
      <c r="N13" s="42"/>
      <c r="O13" s="43"/>
      <c r="P13" s="43"/>
      <c r="Q13" s="44"/>
      <c r="R13" s="41"/>
      <c r="S13" s="3"/>
      <c r="T13" s="3"/>
      <c r="U13" s="4"/>
      <c r="V13" s="1"/>
      <c r="W13" s="1"/>
      <c r="X13" s="1"/>
      <c r="Y13" s="45"/>
      <c r="Z13" s="1"/>
    </row>
    <row r="14" ht="15.0" customHeight="1">
      <c r="A14" s="1"/>
      <c r="B14" s="1"/>
      <c r="C14" s="31"/>
      <c r="L14" s="32"/>
      <c r="M14" s="33"/>
      <c r="N14" s="46" t="s">
        <v>15</v>
      </c>
      <c r="O14" s="46" t="s">
        <v>16</v>
      </c>
      <c r="P14" s="46" t="s">
        <v>17</v>
      </c>
      <c r="Q14" s="46" t="s">
        <v>18</v>
      </c>
      <c r="R14" s="47"/>
      <c r="S14" s="3"/>
      <c r="T14" s="3"/>
      <c r="U14" s="4"/>
      <c r="V14" s="1"/>
      <c r="W14" s="1"/>
      <c r="X14" s="1"/>
      <c r="Y14" s="1"/>
      <c r="Z14" s="1"/>
    </row>
    <row r="15" ht="24.75" customHeight="1">
      <c r="A15" s="1"/>
      <c r="B15" s="1"/>
      <c r="C15" s="48"/>
      <c r="D15" s="49"/>
      <c r="E15" s="49"/>
      <c r="F15" s="49"/>
      <c r="G15" s="49"/>
      <c r="H15" s="49"/>
      <c r="I15" s="49"/>
      <c r="J15" s="49"/>
      <c r="K15" s="49"/>
      <c r="L15" s="50"/>
      <c r="M15" s="51"/>
      <c r="N15" s="51"/>
      <c r="O15" s="51"/>
      <c r="P15" s="51"/>
      <c r="Q15" s="51"/>
      <c r="R15" s="47"/>
      <c r="S15" s="3"/>
      <c r="T15" s="3"/>
      <c r="U15" s="4"/>
      <c r="V15" s="1"/>
      <c r="W15" s="1"/>
      <c r="X15" s="1"/>
      <c r="Y15" s="1"/>
      <c r="Z15" s="1"/>
    </row>
    <row r="16" ht="15.0" customHeight="1">
      <c r="A16" s="1"/>
      <c r="B16" s="1"/>
      <c r="C16" s="52" t="s">
        <v>19</v>
      </c>
      <c r="D16" s="53" t="s">
        <v>20</v>
      </c>
      <c r="E16" s="26"/>
      <c r="F16" s="26"/>
      <c r="G16" s="26"/>
      <c r="H16" s="26"/>
      <c r="I16" s="26"/>
      <c r="J16" s="26"/>
      <c r="K16" s="26"/>
      <c r="L16" s="27"/>
      <c r="M16" s="54">
        <v>0.25</v>
      </c>
      <c r="N16" s="55" t="b">
        <v>1</v>
      </c>
      <c r="O16" s="55" t="b">
        <v>0</v>
      </c>
      <c r="P16" s="55" t="b">
        <v>0</v>
      </c>
      <c r="Q16" s="55" t="b">
        <v>0</v>
      </c>
      <c r="R16" s="56" t="str">
        <f>IF(S16&gt;0,"","Please fill")</f>
        <v>Please fill</v>
      </c>
      <c r="S16" s="57"/>
      <c r="T16" s="57"/>
      <c r="U16" s="58"/>
      <c r="V16" s="1"/>
      <c r="W16" s="1"/>
      <c r="X16" s="1"/>
      <c r="Y16" s="1"/>
      <c r="Z16" s="1"/>
    </row>
    <row r="17" ht="15.0" customHeight="1">
      <c r="A17" s="1"/>
      <c r="B17" s="1"/>
      <c r="C17" s="33"/>
      <c r="D17" s="59"/>
      <c r="E17" s="12"/>
      <c r="F17" s="12"/>
      <c r="G17" s="12"/>
      <c r="H17" s="12"/>
      <c r="I17" s="12"/>
      <c r="J17" s="12"/>
      <c r="K17" s="12"/>
      <c r="L17" s="60"/>
      <c r="M17" s="31"/>
      <c r="N17" s="51"/>
      <c r="O17" s="51"/>
      <c r="P17" s="51"/>
      <c r="Q17" s="51"/>
      <c r="R17" s="23"/>
      <c r="S17" s="61"/>
      <c r="T17" s="62"/>
      <c r="U17" s="62"/>
      <c r="V17" s="1"/>
      <c r="W17" s="1"/>
      <c r="X17" s="1"/>
      <c r="Y17" s="1"/>
      <c r="Z17" s="1"/>
    </row>
    <row r="18" ht="30.0" customHeight="1">
      <c r="A18" s="1"/>
      <c r="B18" s="1"/>
      <c r="C18" s="33"/>
      <c r="D18" s="63" t="s">
        <v>21</v>
      </c>
      <c r="E18" s="64"/>
      <c r="F18" s="64"/>
      <c r="G18" s="64"/>
      <c r="H18" s="64"/>
      <c r="I18" s="64"/>
      <c r="J18" s="64"/>
      <c r="K18" s="64"/>
      <c r="L18" s="65"/>
      <c r="M18" s="31"/>
      <c r="N18" s="66" t="b">
        <v>1</v>
      </c>
      <c r="O18" s="67" t="b">
        <v>0</v>
      </c>
      <c r="P18" s="67" t="b">
        <v>0</v>
      </c>
      <c r="Q18" s="66" t="b">
        <v>0</v>
      </c>
      <c r="R18" s="68" t="str">
        <f t="shared" ref="R18:R21" si="1">IF(S18&gt;0,"","Please fill")</f>
        <v>Please fill</v>
      </c>
      <c r="S18" s="69"/>
      <c r="T18" s="62"/>
      <c r="U18" s="62"/>
      <c r="V18" s="1"/>
      <c r="W18" s="1"/>
      <c r="X18" s="1"/>
      <c r="Y18" s="1"/>
      <c r="Z18" s="1"/>
    </row>
    <row r="19" ht="30.0" customHeight="1">
      <c r="A19" s="1"/>
      <c r="B19" s="1"/>
      <c r="C19" s="33"/>
      <c r="D19" s="63" t="s">
        <v>22</v>
      </c>
      <c r="E19" s="64"/>
      <c r="F19" s="64"/>
      <c r="G19" s="64"/>
      <c r="H19" s="64"/>
      <c r="I19" s="64"/>
      <c r="J19" s="64"/>
      <c r="K19" s="64"/>
      <c r="L19" s="65"/>
      <c r="M19" s="31"/>
      <c r="N19" s="66" t="b">
        <v>1</v>
      </c>
      <c r="O19" s="67" t="b">
        <v>0</v>
      </c>
      <c r="P19" s="67" t="b">
        <v>0</v>
      </c>
      <c r="Q19" s="67" t="b">
        <v>0</v>
      </c>
      <c r="R19" s="68" t="str">
        <f t="shared" si="1"/>
        <v>Please fill</v>
      </c>
      <c r="S19" s="69"/>
      <c r="T19" s="62"/>
      <c r="U19" s="62"/>
      <c r="V19" s="1"/>
      <c r="W19" s="1"/>
      <c r="X19" s="1"/>
      <c r="Y19" s="1"/>
      <c r="Z19" s="1"/>
    </row>
    <row r="20" ht="30.0" customHeight="1">
      <c r="A20" s="1"/>
      <c r="B20" s="1"/>
      <c r="C20" s="51"/>
      <c r="D20" s="70" t="s">
        <v>23</v>
      </c>
      <c r="E20" s="71"/>
      <c r="F20" s="71"/>
      <c r="G20" s="71"/>
      <c r="H20" s="71"/>
      <c r="I20" s="71"/>
      <c r="J20" s="71"/>
      <c r="K20" s="71"/>
      <c r="L20" s="72"/>
      <c r="M20" s="34"/>
      <c r="N20" s="66" t="b">
        <v>1</v>
      </c>
      <c r="O20" s="67" t="b">
        <v>0</v>
      </c>
      <c r="P20" s="67" t="b">
        <v>0</v>
      </c>
      <c r="Q20" s="67" t="b">
        <v>0</v>
      </c>
      <c r="R20" s="68" t="str">
        <f t="shared" si="1"/>
        <v>Please fill</v>
      </c>
      <c r="S20" s="69"/>
      <c r="T20" s="61"/>
      <c r="U20" s="61"/>
      <c r="V20" s="1"/>
      <c r="W20" s="1"/>
      <c r="X20" s="1"/>
      <c r="Y20" s="1"/>
      <c r="Z20" s="1"/>
    </row>
    <row r="21" ht="15.0" customHeight="1">
      <c r="A21" s="1"/>
      <c r="B21" s="1"/>
      <c r="C21" s="73" t="s">
        <v>24</v>
      </c>
      <c r="D21" s="74" t="s">
        <v>25</v>
      </c>
      <c r="E21" s="6"/>
      <c r="F21" s="6"/>
      <c r="G21" s="6"/>
      <c r="H21" s="6"/>
      <c r="I21" s="6"/>
      <c r="J21" s="6"/>
      <c r="K21" s="6"/>
      <c r="L21" s="75"/>
      <c r="M21" s="76">
        <v>0.3</v>
      </c>
      <c r="N21" s="77" t="b">
        <v>1</v>
      </c>
      <c r="O21" s="78" t="b">
        <v>0</v>
      </c>
      <c r="P21" s="78" t="b">
        <v>0</v>
      </c>
      <c r="Q21" s="78" t="b">
        <v>0</v>
      </c>
      <c r="R21" s="56" t="str">
        <f t="shared" si="1"/>
        <v>Please fill</v>
      </c>
      <c r="S21" s="57"/>
      <c r="T21" s="57"/>
      <c r="U21" s="58"/>
      <c r="V21" s="1"/>
      <c r="W21" s="1"/>
      <c r="X21" s="1"/>
      <c r="Y21" s="1"/>
      <c r="Z21" s="1"/>
    </row>
    <row r="22" ht="15.0" customHeight="1">
      <c r="A22" s="1"/>
      <c r="B22" s="1"/>
      <c r="C22" s="33"/>
      <c r="D22" s="11"/>
      <c r="E22" s="12"/>
      <c r="F22" s="12"/>
      <c r="G22" s="12"/>
      <c r="H22" s="12"/>
      <c r="I22" s="12"/>
      <c r="J22" s="12"/>
      <c r="K22" s="12"/>
      <c r="L22" s="79"/>
      <c r="M22" s="33"/>
      <c r="N22" s="51"/>
      <c r="O22" s="51"/>
      <c r="P22" s="51"/>
      <c r="Q22" s="51"/>
      <c r="R22" s="23"/>
      <c r="S22" s="61"/>
      <c r="T22" s="62"/>
      <c r="U22" s="62"/>
      <c r="V22" s="1"/>
      <c r="W22" s="80" t="s">
        <v>26</v>
      </c>
      <c r="X22" s="1"/>
      <c r="Y22" s="1"/>
      <c r="Z22" s="1"/>
    </row>
    <row r="23" ht="30.0" customHeight="1">
      <c r="A23" s="1"/>
      <c r="B23" s="1"/>
      <c r="C23" s="33"/>
      <c r="D23" s="81" t="s">
        <v>27</v>
      </c>
      <c r="E23" s="64"/>
      <c r="F23" s="64"/>
      <c r="G23" s="64"/>
      <c r="H23" s="64"/>
      <c r="I23" s="64"/>
      <c r="J23" s="64"/>
      <c r="K23" s="64"/>
      <c r="L23" s="82"/>
      <c r="M23" s="33"/>
      <c r="N23" s="66" t="b">
        <v>1</v>
      </c>
      <c r="O23" s="67" t="b">
        <v>0</v>
      </c>
      <c r="P23" s="67" t="b">
        <v>0</v>
      </c>
      <c r="Q23" s="67" t="b">
        <v>0</v>
      </c>
      <c r="R23" s="68" t="str">
        <f t="shared" ref="R23:R26" si="2">IF(S23&gt;0,"","Please fill")</f>
        <v>Please fill</v>
      </c>
      <c r="S23" s="69"/>
      <c r="T23" s="62"/>
      <c r="U23" s="62"/>
      <c r="V23" s="1"/>
      <c r="W23" s="1"/>
      <c r="X23" s="1"/>
      <c r="Y23" s="1"/>
      <c r="Z23" s="1"/>
    </row>
    <row r="24" ht="30.0" customHeight="1">
      <c r="A24" s="1"/>
      <c r="B24" s="1"/>
      <c r="C24" s="33"/>
      <c r="D24" s="83" t="s">
        <v>28</v>
      </c>
      <c r="E24" s="64"/>
      <c r="F24" s="64"/>
      <c r="G24" s="64"/>
      <c r="H24" s="64"/>
      <c r="I24" s="64"/>
      <c r="J24" s="64"/>
      <c r="K24" s="64"/>
      <c r="L24" s="82"/>
      <c r="M24" s="33"/>
      <c r="N24" s="66" t="b">
        <v>1</v>
      </c>
      <c r="O24" s="67" t="b">
        <v>0</v>
      </c>
      <c r="P24" s="67" t="b">
        <v>0</v>
      </c>
      <c r="Q24" s="67" t="b">
        <v>0</v>
      </c>
      <c r="R24" s="68" t="str">
        <f t="shared" si="2"/>
        <v>Please fill</v>
      </c>
      <c r="S24" s="69"/>
      <c r="T24" s="62"/>
      <c r="U24" s="62"/>
      <c r="V24" s="1"/>
      <c r="W24" s="1"/>
      <c r="X24" s="1"/>
      <c r="Y24" s="1"/>
      <c r="Z24" s="1"/>
    </row>
    <row r="25" ht="36.75" customHeight="1">
      <c r="A25" s="1"/>
      <c r="B25" s="1"/>
      <c r="C25" s="84"/>
      <c r="D25" s="81" t="s">
        <v>29</v>
      </c>
      <c r="E25" s="64"/>
      <c r="F25" s="64"/>
      <c r="G25" s="64"/>
      <c r="H25" s="64"/>
      <c r="I25" s="64"/>
      <c r="J25" s="64"/>
      <c r="K25" s="64"/>
      <c r="L25" s="82"/>
      <c r="M25" s="51"/>
      <c r="N25" s="66" t="b">
        <v>1</v>
      </c>
      <c r="O25" s="67" t="b">
        <v>0</v>
      </c>
      <c r="P25" s="67" t="b">
        <v>0</v>
      </c>
      <c r="Q25" s="67" t="b">
        <v>0</v>
      </c>
      <c r="R25" s="68" t="str">
        <f t="shared" si="2"/>
        <v>Please fill</v>
      </c>
      <c r="S25" s="69"/>
      <c r="T25" s="61"/>
      <c r="U25" s="61"/>
      <c r="V25" s="1"/>
      <c r="W25" s="1"/>
      <c r="X25" s="1"/>
      <c r="Y25" s="1"/>
      <c r="Z25" s="1"/>
    </row>
    <row r="26" ht="15.0" customHeight="1">
      <c r="A26" s="1"/>
      <c r="B26" s="1"/>
      <c r="C26" s="52" t="s">
        <v>30</v>
      </c>
      <c r="D26" s="85" t="s">
        <v>31</v>
      </c>
      <c r="E26" s="26"/>
      <c r="F26" s="26"/>
      <c r="G26" s="26"/>
      <c r="H26" s="26"/>
      <c r="I26" s="26"/>
      <c r="J26" s="26"/>
      <c r="K26" s="26"/>
      <c r="L26" s="27"/>
      <c r="M26" s="76">
        <v>0.25</v>
      </c>
      <c r="N26" s="77" t="b">
        <v>1</v>
      </c>
      <c r="O26" s="78" t="b">
        <v>0</v>
      </c>
      <c r="P26" s="78" t="b">
        <v>0</v>
      </c>
      <c r="Q26" s="78" t="b">
        <v>0</v>
      </c>
      <c r="R26" s="56" t="str">
        <f t="shared" si="2"/>
        <v>Please fill</v>
      </c>
      <c r="S26" s="57"/>
      <c r="T26" s="57"/>
      <c r="U26" s="58"/>
      <c r="V26" s="1"/>
      <c r="W26" s="1"/>
      <c r="X26" s="1"/>
      <c r="Y26" s="1"/>
      <c r="Z26" s="1"/>
    </row>
    <row r="27" ht="15.0" customHeight="1">
      <c r="A27" s="1"/>
      <c r="B27" s="1"/>
      <c r="C27" s="33"/>
      <c r="D27" s="59"/>
      <c r="E27" s="12"/>
      <c r="F27" s="12"/>
      <c r="G27" s="12"/>
      <c r="H27" s="12"/>
      <c r="I27" s="12"/>
      <c r="J27" s="12"/>
      <c r="K27" s="12"/>
      <c r="L27" s="60"/>
      <c r="M27" s="33"/>
      <c r="N27" s="51"/>
      <c r="O27" s="51"/>
      <c r="P27" s="51"/>
      <c r="Q27" s="51"/>
      <c r="R27" s="23"/>
      <c r="S27" s="61"/>
      <c r="T27" s="62"/>
      <c r="U27" s="62"/>
      <c r="V27" s="1"/>
      <c r="W27" s="1"/>
      <c r="X27" s="1"/>
      <c r="Y27" s="1"/>
      <c r="Z27" s="1"/>
    </row>
    <row r="28" ht="30.0" customHeight="1">
      <c r="A28" s="1"/>
      <c r="B28" s="1"/>
      <c r="C28" s="33"/>
      <c r="D28" s="81" t="s">
        <v>32</v>
      </c>
      <c r="E28" s="64"/>
      <c r="F28" s="64"/>
      <c r="G28" s="64"/>
      <c r="H28" s="64"/>
      <c r="I28" s="64"/>
      <c r="J28" s="64"/>
      <c r="K28" s="64"/>
      <c r="L28" s="82"/>
      <c r="M28" s="33"/>
      <c r="N28" s="66" t="b">
        <v>1</v>
      </c>
      <c r="O28" s="67" t="b">
        <v>0</v>
      </c>
      <c r="P28" s="67" t="b">
        <v>0</v>
      </c>
      <c r="Q28" s="67" t="b">
        <v>0</v>
      </c>
      <c r="R28" s="68" t="str">
        <f t="shared" ref="R28:R31" si="3">IF(S28&gt;0,"","Please fill")</f>
        <v>Please fill</v>
      </c>
      <c r="S28" s="69"/>
      <c r="T28" s="62"/>
      <c r="U28" s="62"/>
      <c r="V28" s="1"/>
      <c r="W28" s="1"/>
      <c r="X28" s="1"/>
      <c r="Y28" s="1"/>
      <c r="Z28" s="1"/>
    </row>
    <row r="29" ht="36.75" customHeight="1">
      <c r="A29" s="1"/>
      <c r="B29" s="1"/>
      <c r="C29" s="33"/>
      <c r="D29" s="81" t="s">
        <v>33</v>
      </c>
      <c r="E29" s="64"/>
      <c r="F29" s="64"/>
      <c r="G29" s="64"/>
      <c r="H29" s="64"/>
      <c r="I29" s="64"/>
      <c r="J29" s="64"/>
      <c r="K29" s="64"/>
      <c r="L29" s="82"/>
      <c r="M29" s="33"/>
      <c r="N29" s="66" t="b">
        <v>1</v>
      </c>
      <c r="O29" s="67" t="b">
        <v>0</v>
      </c>
      <c r="P29" s="67" t="b">
        <v>0</v>
      </c>
      <c r="Q29" s="67" t="b">
        <v>0</v>
      </c>
      <c r="R29" s="68" t="str">
        <f t="shared" si="3"/>
        <v>Please fill</v>
      </c>
      <c r="S29" s="69"/>
      <c r="T29" s="62"/>
      <c r="U29" s="62"/>
      <c r="V29" s="1"/>
      <c r="W29" s="1"/>
      <c r="X29" s="1"/>
      <c r="Y29" s="1"/>
      <c r="Z29" s="1"/>
    </row>
    <row r="30" ht="30.0" customHeight="1">
      <c r="A30" s="1"/>
      <c r="B30" s="1"/>
      <c r="C30" s="51"/>
      <c r="D30" s="81" t="s">
        <v>34</v>
      </c>
      <c r="E30" s="64"/>
      <c r="F30" s="64"/>
      <c r="G30" s="64"/>
      <c r="H30" s="64"/>
      <c r="I30" s="64"/>
      <c r="J30" s="64"/>
      <c r="K30" s="64"/>
      <c r="L30" s="82"/>
      <c r="M30" s="51"/>
      <c r="N30" s="66" t="b">
        <v>1</v>
      </c>
      <c r="O30" s="67" t="b">
        <v>0</v>
      </c>
      <c r="P30" s="67" t="b">
        <v>0</v>
      </c>
      <c r="Q30" s="67" t="b">
        <v>0</v>
      </c>
      <c r="R30" s="68" t="str">
        <f t="shared" si="3"/>
        <v>Please fill</v>
      </c>
      <c r="S30" s="69"/>
      <c r="T30" s="61"/>
      <c r="U30" s="61"/>
      <c r="V30" s="1"/>
      <c r="W30" s="1"/>
      <c r="X30" s="1"/>
      <c r="Y30" s="1"/>
      <c r="Z30" s="1"/>
    </row>
    <row r="31" ht="15.0" customHeight="1">
      <c r="A31" s="1"/>
      <c r="B31" s="1"/>
      <c r="C31" s="73" t="s">
        <v>35</v>
      </c>
      <c r="D31" s="74" t="s">
        <v>36</v>
      </c>
      <c r="E31" s="6"/>
      <c r="F31" s="6"/>
      <c r="G31" s="6"/>
      <c r="H31" s="6"/>
      <c r="I31" s="6"/>
      <c r="J31" s="6"/>
      <c r="K31" s="6"/>
      <c r="L31" s="75"/>
      <c r="M31" s="76">
        <v>0.2</v>
      </c>
      <c r="N31" s="77" t="b">
        <v>1</v>
      </c>
      <c r="O31" s="78" t="b">
        <v>0</v>
      </c>
      <c r="P31" s="78" t="b">
        <v>0</v>
      </c>
      <c r="Q31" s="78" t="b">
        <v>0</v>
      </c>
      <c r="R31" s="56" t="str">
        <f t="shared" si="3"/>
        <v>Please fill</v>
      </c>
      <c r="S31" s="57"/>
      <c r="T31" s="57"/>
      <c r="U31" s="58"/>
      <c r="V31" s="1"/>
      <c r="W31" s="1"/>
      <c r="X31" s="1"/>
      <c r="Y31" s="1"/>
      <c r="Z31" s="1"/>
    </row>
    <row r="32" ht="24.75" customHeight="1">
      <c r="A32" s="1"/>
      <c r="B32" s="1"/>
      <c r="C32" s="33"/>
      <c r="D32" s="11"/>
      <c r="E32" s="12"/>
      <c r="F32" s="12"/>
      <c r="G32" s="12"/>
      <c r="H32" s="12"/>
      <c r="I32" s="12"/>
      <c r="J32" s="12"/>
      <c r="K32" s="12"/>
      <c r="L32" s="79"/>
      <c r="M32" s="33"/>
      <c r="N32" s="51"/>
      <c r="O32" s="51"/>
      <c r="P32" s="51"/>
      <c r="Q32" s="51"/>
      <c r="R32" s="23"/>
      <c r="S32" s="61"/>
      <c r="T32" s="62"/>
      <c r="U32" s="62"/>
      <c r="V32" s="1"/>
      <c r="W32" s="1"/>
      <c r="X32" s="1"/>
      <c r="Y32" s="1"/>
      <c r="Z32" s="1"/>
    </row>
    <row r="33" ht="30.0" customHeight="1">
      <c r="A33" s="1"/>
      <c r="B33" s="1"/>
      <c r="C33" s="33"/>
      <c r="D33" s="81" t="s">
        <v>37</v>
      </c>
      <c r="E33" s="64"/>
      <c r="F33" s="64"/>
      <c r="G33" s="64"/>
      <c r="H33" s="64"/>
      <c r="I33" s="64"/>
      <c r="J33" s="64"/>
      <c r="K33" s="64"/>
      <c r="L33" s="82"/>
      <c r="M33" s="33"/>
      <c r="N33" s="66" t="b">
        <v>1</v>
      </c>
      <c r="O33" s="67" t="b">
        <v>0</v>
      </c>
      <c r="P33" s="67" t="b">
        <v>0</v>
      </c>
      <c r="Q33" s="67" t="b">
        <v>0</v>
      </c>
      <c r="R33" s="68" t="str">
        <f t="shared" ref="R33:R35" si="4">IF(S33&gt;0,"","Please fill")</f>
        <v>Please fill</v>
      </c>
      <c r="S33" s="69"/>
      <c r="T33" s="62"/>
      <c r="U33" s="62"/>
      <c r="V33" s="1"/>
      <c r="W33" s="1"/>
      <c r="X33" s="1"/>
      <c r="Y33" s="1"/>
      <c r="Z33" s="1"/>
    </row>
    <row r="34" ht="30.0" customHeight="1">
      <c r="A34" s="1"/>
      <c r="B34" s="1"/>
      <c r="C34" s="33"/>
      <c r="D34" s="81" t="s">
        <v>38</v>
      </c>
      <c r="E34" s="64"/>
      <c r="F34" s="64"/>
      <c r="G34" s="64"/>
      <c r="H34" s="64"/>
      <c r="I34" s="64"/>
      <c r="J34" s="64"/>
      <c r="K34" s="64"/>
      <c r="L34" s="82"/>
      <c r="M34" s="33"/>
      <c r="N34" s="66" t="b">
        <v>1</v>
      </c>
      <c r="O34" s="67" t="b">
        <v>0</v>
      </c>
      <c r="P34" s="67" t="b">
        <v>0</v>
      </c>
      <c r="Q34" s="66" t="b">
        <v>0</v>
      </c>
      <c r="R34" s="68" t="str">
        <f t="shared" si="4"/>
        <v>Please fill</v>
      </c>
      <c r="S34" s="69"/>
      <c r="T34" s="62"/>
      <c r="U34" s="62"/>
      <c r="V34" s="1"/>
      <c r="W34" s="1"/>
      <c r="X34" s="1"/>
      <c r="Y34" s="1"/>
      <c r="Z34" s="1"/>
    </row>
    <row r="35" ht="37.5" customHeight="1">
      <c r="A35" s="1"/>
      <c r="B35" s="1"/>
      <c r="C35" s="51"/>
      <c r="D35" s="81" t="s">
        <v>39</v>
      </c>
      <c r="E35" s="64"/>
      <c r="F35" s="64"/>
      <c r="G35" s="64"/>
      <c r="H35" s="64"/>
      <c r="I35" s="64"/>
      <c r="J35" s="64"/>
      <c r="K35" s="64"/>
      <c r="L35" s="82"/>
      <c r="M35" s="51"/>
      <c r="N35" s="66" t="b">
        <v>1</v>
      </c>
      <c r="O35" s="67" t="b">
        <v>0</v>
      </c>
      <c r="P35" s="67" t="b">
        <v>0</v>
      </c>
      <c r="Q35" s="66" t="b">
        <v>0</v>
      </c>
      <c r="R35" s="68" t="str">
        <f t="shared" si="4"/>
        <v>Please fill</v>
      </c>
      <c r="S35" s="69"/>
      <c r="T35" s="61"/>
      <c r="U35" s="61"/>
      <c r="V35" s="1"/>
      <c r="W35" s="1"/>
      <c r="X35" s="1"/>
      <c r="Y35" s="1"/>
      <c r="Z35" s="1"/>
    </row>
    <row r="36" ht="24.75" customHeight="1">
      <c r="A36" s="1"/>
      <c r="B36" s="1"/>
      <c r="C36" s="86"/>
      <c r="D36" s="87"/>
      <c r="E36" s="87"/>
      <c r="F36" s="87"/>
      <c r="G36" s="87"/>
      <c r="H36" s="87"/>
      <c r="I36" s="87"/>
      <c r="J36" s="88" t="s">
        <v>40</v>
      </c>
      <c r="K36" s="89"/>
      <c r="L36" s="90"/>
      <c r="M36" s="91">
        <f>SUM(M16:M35)</f>
        <v>1</v>
      </c>
      <c r="N36" s="92"/>
      <c r="O36" s="88" t="s">
        <v>41</v>
      </c>
      <c r="P36" s="93"/>
      <c r="Q36" s="94"/>
      <c r="R36" s="95"/>
      <c r="S36" s="96"/>
      <c r="T36" s="3"/>
      <c r="U36" s="97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98"/>
      <c r="H37" s="1"/>
      <c r="I37" s="1"/>
      <c r="J37" s="98"/>
      <c r="K37" s="98"/>
      <c r="L37" s="1"/>
      <c r="M37" s="1"/>
      <c r="N37" s="98"/>
      <c r="O37" s="1"/>
      <c r="P37" s="1"/>
      <c r="Q37" s="98"/>
      <c r="R37" s="99"/>
      <c r="S37" s="3"/>
      <c r="T37" s="3"/>
      <c r="U37" s="4"/>
      <c r="V37" s="1"/>
      <c r="W37" s="1"/>
      <c r="X37" s="1"/>
      <c r="Y37" s="1"/>
      <c r="Z37" s="1"/>
    </row>
    <row r="38" ht="15.0" customHeight="1">
      <c r="A38" s="1"/>
      <c r="B38" s="1"/>
      <c r="C38" s="100"/>
      <c r="D38" s="6"/>
      <c r="E38" s="6"/>
      <c r="F38" s="6"/>
      <c r="G38" s="6"/>
      <c r="H38" s="6"/>
      <c r="I38" s="75"/>
      <c r="J38" s="101" t="str">
        <f>IF(Q36&gt;=85%,(IF(Q36&lt;=100%,"X","")),"")</f>
        <v/>
      </c>
      <c r="K38" s="6"/>
      <c r="L38" s="75"/>
      <c r="M38" s="102" t="str">
        <f>IF(Q36&gt;=70%,(IF(Q36&lt;=84%,"X","")),"")</f>
        <v/>
      </c>
      <c r="N38" s="103" t="str">
        <f>IF(Q36&gt;=50%,(IF(Q36&lt;=69%,"X","")),"")</f>
        <v/>
      </c>
      <c r="O38" s="75"/>
      <c r="P38" s="103" t="str">
        <f>IF(Q36&lt;=49%,"X","")</f>
        <v>X</v>
      </c>
      <c r="Q38" s="75"/>
      <c r="R38" s="2"/>
      <c r="S38" s="3"/>
      <c r="T38" s="3"/>
      <c r="U38" s="4"/>
      <c r="V38" s="1"/>
      <c r="W38" s="1"/>
      <c r="X38" s="1"/>
      <c r="Y38" s="1"/>
      <c r="Z38" s="1"/>
    </row>
    <row r="39" ht="15.0" customHeight="1">
      <c r="A39" s="1"/>
      <c r="B39" s="1"/>
      <c r="C39" s="11"/>
      <c r="D39" s="12"/>
      <c r="E39" s="12"/>
      <c r="F39" s="12"/>
      <c r="G39" s="12"/>
      <c r="H39" s="12"/>
      <c r="I39" s="79"/>
      <c r="J39" s="104"/>
      <c r="K39" s="12"/>
      <c r="L39" s="79"/>
      <c r="M39" s="105"/>
      <c r="N39" s="11"/>
      <c r="O39" s="79"/>
      <c r="P39" s="11"/>
      <c r="Q39" s="79"/>
      <c r="R39" s="2"/>
      <c r="S39" s="3"/>
      <c r="T39" s="3"/>
      <c r="U39" s="4"/>
      <c r="V39" s="1"/>
      <c r="W39" s="1"/>
      <c r="X39" s="1"/>
      <c r="Y39" s="1"/>
      <c r="Z39" s="1"/>
    </row>
    <row r="40" ht="15.0" customHeight="1">
      <c r="A40" s="1"/>
      <c r="B40" s="1"/>
      <c r="C40" s="106" t="s">
        <v>42</v>
      </c>
      <c r="D40" s="6"/>
      <c r="E40" s="6"/>
      <c r="F40" s="6"/>
      <c r="G40" s="6"/>
      <c r="H40" s="6"/>
      <c r="I40" s="75"/>
      <c r="J40" s="107" t="s">
        <v>11</v>
      </c>
      <c r="K40" s="6"/>
      <c r="L40" s="75"/>
      <c r="M40" s="108" t="s">
        <v>43</v>
      </c>
      <c r="N40" s="109" t="s">
        <v>13</v>
      </c>
      <c r="O40" s="75"/>
      <c r="P40" s="110" t="s">
        <v>14</v>
      </c>
      <c r="Q40" s="75"/>
      <c r="R40" s="41"/>
      <c r="S40" s="3"/>
      <c r="T40" s="3"/>
      <c r="U40" s="4"/>
      <c r="V40" s="1"/>
      <c r="W40" s="1"/>
      <c r="X40" s="1"/>
      <c r="Y40" s="1"/>
      <c r="Z40" s="1"/>
    </row>
    <row r="41" ht="15.0" customHeight="1">
      <c r="A41" s="1"/>
      <c r="B41" s="1"/>
      <c r="C41" s="11"/>
      <c r="D41" s="12"/>
      <c r="E41" s="12"/>
      <c r="F41" s="12"/>
      <c r="G41" s="12"/>
      <c r="H41" s="12"/>
      <c r="I41" s="79"/>
      <c r="J41" s="11"/>
      <c r="K41" s="12"/>
      <c r="L41" s="79"/>
      <c r="M41" s="105"/>
      <c r="N41" s="11"/>
      <c r="O41" s="79"/>
      <c r="P41" s="11"/>
      <c r="Q41" s="79"/>
      <c r="R41" s="41"/>
      <c r="S41" s="3"/>
      <c r="T41" s="3"/>
      <c r="U41" s="4"/>
      <c r="V41" s="1"/>
      <c r="W41" s="1"/>
      <c r="X41" s="1"/>
      <c r="Y41" s="1"/>
      <c r="Z41" s="1"/>
    </row>
    <row r="42" ht="15.0" customHeight="1">
      <c r="A42" s="1"/>
      <c r="B42" s="1"/>
      <c r="C42" s="106" t="s">
        <v>44</v>
      </c>
      <c r="D42" s="6"/>
      <c r="E42" s="6"/>
      <c r="F42" s="6"/>
      <c r="G42" s="6"/>
      <c r="H42" s="6"/>
      <c r="I42" s="75"/>
      <c r="J42" s="106" t="s">
        <v>45</v>
      </c>
      <c r="K42" s="6"/>
      <c r="L42" s="75"/>
      <c r="M42" s="111" t="s">
        <v>46</v>
      </c>
      <c r="N42" s="106" t="s">
        <v>47</v>
      </c>
      <c r="O42" s="75"/>
      <c r="P42" s="106" t="s">
        <v>48</v>
      </c>
      <c r="Q42" s="75"/>
      <c r="R42" s="112"/>
      <c r="S42" s="3"/>
      <c r="T42" s="3"/>
      <c r="U42" s="4"/>
      <c r="V42" s="1"/>
      <c r="W42" s="1"/>
      <c r="X42" s="1"/>
      <c r="Y42" s="1"/>
      <c r="Z42" s="1"/>
    </row>
    <row r="43" ht="14.25" customHeight="1">
      <c r="A43" s="1"/>
      <c r="B43" s="1"/>
      <c r="C43" s="11"/>
      <c r="D43" s="12"/>
      <c r="E43" s="12"/>
      <c r="F43" s="12"/>
      <c r="G43" s="12"/>
      <c r="H43" s="12"/>
      <c r="I43" s="79"/>
      <c r="J43" s="11"/>
      <c r="K43" s="12"/>
      <c r="L43" s="79"/>
      <c r="M43" s="105"/>
      <c r="N43" s="11"/>
      <c r="O43" s="79"/>
      <c r="P43" s="11"/>
      <c r="Q43" s="79"/>
      <c r="R43" s="112"/>
      <c r="S43" s="3"/>
      <c r="T43" s="3"/>
      <c r="U43" s="4"/>
      <c r="V43" s="1"/>
      <c r="W43" s="1"/>
      <c r="X43" s="1"/>
      <c r="Y43" s="1"/>
      <c r="Z43" s="1"/>
    </row>
    <row r="44" ht="14.25" customHeight="1">
      <c r="A44" s="1"/>
      <c r="B44" s="1"/>
      <c r="C44" s="106" t="s">
        <v>49</v>
      </c>
      <c r="D44" s="6"/>
      <c r="E44" s="6"/>
      <c r="F44" s="6"/>
      <c r="G44" s="6"/>
      <c r="H44" s="6"/>
      <c r="I44" s="75"/>
      <c r="J44" s="113" t="s">
        <v>50</v>
      </c>
      <c r="K44" s="6"/>
      <c r="L44" s="6"/>
      <c r="M44" s="75"/>
      <c r="N44" s="114" t="s">
        <v>51</v>
      </c>
      <c r="O44" s="6"/>
      <c r="P44" s="6"/>
      <c r="Q44" s="75"/>
      <c r="R44" s="2"/>
      <c r="S44" s="3"/>
      <c r="T44" s="3"/>
      <c r="U44" s="4"/>
      <c r="V44" s="1"/>
      <c r="W44" s="1"/>
      <c r="X44" s="1"/>
      <c r="Y44" s="1"/>
      <c r="Z44" s="1"/>
    </row>
    <row r="45" ht="14.25" customHeight="1">
      <c r="A45" s="1"/>
      <c r="B45" s="1"/>
      <c r="C45" s="11"/>
      <c r="D45" s="12"/>
      <c r="E45" s="12"/>
      <c r="F45" s="12"/>
      <c r="G45" s="12"/>
      <c r="H45" s="12"/>
      <c r="I45" s="79"/>
      <c r="J45" s="11"/>
      <c r="K45" s="12"/>
      <c r="L45" s="12"/>
      <c r="M45" s="79"/>
      <c r="N45" s="11"/>
      <c r="O45" s="12"/>
      <c r="P45" s="12"/>
      <c r="Q45" s="79"/>
      <c r="R45" s="2"/>
      <c r="S45" s="3"/>
      <c r="T45" s="3"/>
      <c r="U45" s="4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"/>
      <c r="S46" s="3"/>
      <c r="T46" s="3"/>
      <c r="U46" s="4"/>
      <c r="V46" s="1"/>
      <c r="W46" s="1"/>
      <c r="X46" s="1"/>
      <c r="Y46" s="1"/>
      <c r="Z46" s="1"/>
    </row>
    <row r="47" ht="21.75" customHeight="1">
      <c r="A47" s="1"/>
      <c r="B47" s="1"/>
      <c r="C47" s="115" t="s">
        <v>52</v>
      </c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7"/>
      <c r="R47" s="8"/>
      <c r="S47" s="3"/>
      <c r="T47" s="3"/>
      <c r="U47" s="4"/>
      <c r="V47" s="1"/>
      <c r="W47" s="1"/>
      <c r="X47" s="1"/>
      <c r="Y47" s="1"/>
      <c r="Z47" s="1"/>
    </row>
    <row r="48" ht="21.75" customHeight="1">
      <c r="A48" s="1"/>
      <c r="B48" s="1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2"/>
      <c r="S48" s="3"/>
      <c r="T48" s="3"/>
      <c r="U48" s="4"/>
      <c r="V48" s="1"/>
      <c r="W48" s="1"/>
      <c r="X48" s="1"/>
      <c r="Y48" s="1"/>
      <c r="Z48" s="1"/>
    </row>
    <row r="49" ht="21.75" customHeight="1">
      <c r="A49" s="1"/>
      <c r="B49" s="1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2"/>
      <c r="S49" s="3"/>
      <c r="T49" s="3"/>
      <c r="U49" s="4"/>
      <c r="V49" s="1"/>
      <c r="W49" s="1"/>
      <c r="X49" s="1"/>
      <c r="Y49" s="1"/>
      <c r="Z49" s="1"/>
    </row>
    <row r="50" ht="21.75" customHeight="1">
      <c r="A50" s="1"/>
      <c r="B50" s="1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2"/>
      <c r="S50" s="3"/>
      <c r="T50" s="3"/>
      <c r="U50" s="4"/>
      <c r="V50" s="1"/>
      <c r="W50" s="1"/>
      <c r="X50" s="1"/>
      <c r="Y50" s="1"/>
      <c r="Z50" s="1"/>
    </row>
    <row r="51" ht="21.75" customHeight="1">
      <c r="A51" s="1"/>
      <c r="B51" s="1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2"/>
      <c r="S51" s="3"/>
      <c r="T51" s="3"/>
      <c r="U51" s="4"/>
      <c r="V51" s="1"/>
      <c r="W51" s="1"/>
      <c r="X51" s="1"/>
      <c r="Y51" s="1"/>
      <c r="Z51" s="1"/>
    </row>
    <row r="52" ht="21.75" customHeight="1">
      <c r="A52" s="1"/>
      <c r="B52" s="1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2"/>
      <c r="S52" s="3"/>
      <c r="T52" s="3"/>
      <c r="U52" s="4"/>
      <c r="V52" s="1"/>
      <c r="W52" s="1"/>
      <c r="X52" s="1"/>
      <c r="Y52" s="1"/>
      <c r="Z52" s="1"/>
    </row>
    <row r="53" ht="21.75" customHeight="1">
      <c r="A53" s="1"/>
      <c r="B53" s="1"/>
      <c r="C53" s="115" t="s">
        <v>53</v>
      </c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7"/>
      <c r="R53" s="2"/>
      <c r="S53" s="3"/>
      <c r="T53" s="3"/>
      <c r="U53" s="4"/>
      <c r="V53" s="1"/>
      <c r="W53" s="1"/>
      <c r="X53" s="1"/>
      <c r="Y53" s="1"/>
      <c r="Z53" s="1"/>
    </row>
    <row r="54" ht="21.75" customHeight="1">
      <c r="A54" s="1"/>
      <c r="B54" s="1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2"/>
      <c r="S54" s="3"/>
      <c r="T54" s="3"/>
      <c r="U54" s="4"/>
      <c r="V54" s="1"/>
      <c r="W54" s="1"/>
      <c r="X54" s="1"/>
      <c r="Y54" s="1"/>
      <c r="Z54" s="1"/>
    </row>
    <row r="55" ht="21.75" customHeight="1">
      <c r="A55" s="1"/>
      <c r="B55" s="1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2"/>
      <c r="S55" s="3"/>
      <c r="T55" s="3"/>
      <c r="U55" s="4"/>
      <c r="V55" s="1"/>
      <c r="W55" s="1"/>
      <c r="X55" s="1"/>
      <c r="Y55" s="1"/>
      <c r="Z55" s="1"/>
    </row>
    <row r="56" ht="12.75" customHeight="1">
      <c r="A56" s="1"/>
      <c r="B56" s="1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2"/>
      <c r="S56" s="3"/>
      <c r="T56" s="3"/>
      <c r="U56" s="4"/>
      <c r="V56" s="1"/>
      <c r="W56" s="1"/>
      <c r="X56" s="1"/>
      <c r="Y56" s="1"/>
      <c r="Z56" s="1"/>
    </row>
    <row r="57" ht="21.75" customHeight="1">
      <c r="A57" s="1"/>
      <c r="B57" s="1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8"/>
      <c r="S57" s="3"/>
      <c r="T57" s="3"/>
      <c r="U57" s="4"/>
      <c r="V57" s="1"/>
      <c r="W57" s="1"/>
      <c r="X57" s="1"/>
      <c r="Y57" s="1"/>
      <c r="Z57" s="1"/>
    </row>
    <row r="58" ht="21.75" customHeight="1">
      <c r="A58" s="1"/>
      <c r="B58" s="1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2"/>
      <c r="S58" s="3"/>
      <c r="T58" s="3"/>
      <c r="U58" s="4"/>
      <c r="V58" s="1"/>
      <c r="W58" s="1"/>
      <c r="X58" s="1"/>
      <c r="Y58" s="1"/>
      <c r="Z58" s="1"/>
    </row>
    <row r="59" ht="21.75" customHeight="1">
      <c r="A59" s="1"/>
      <c r="B59" s="1"/>
      <c r="C59" s="115" t="s">
        <v>54</v>
      </c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7"/>
      <c r="R59" s="2"/>
      <c r="S59" s="3"/>
      <c r="T59" s="3"/>
      <c r="U59" s="4"/>
      <c r="V59" s="1"/>
      <c r="W59" s="1"/>
      <c r="X59" s="1"/>
      <c r="Y59" s="1"/>
      <c r="Z59" s="1"/>
    </row>
    <row r="60" ht="21.75" customHeight="1">
      <c r="A60" s="1"/>
      <c r="B60" s="1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2"/>
      <c r="S60" s="3"/>
      <c r="T60" s="3"/>
      <c r="U60" s="4"/>
      <c r="V60" s="1"/>
      <c r="W60" s="1"/>
      <c r="X60" s="1"/>
      <c r="Y60" s="1"/>
      <c r="Z60" s="1"/>
    </row>
    <row r="61" ht="21.75" customHeight="1">
      <c r="A61" s="1"/>
      <c r="B61" s="1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2"/>
      <c r="S61" s="3"/>
      <c r="T61" s="3"/>
      <c r="U61" s="4"/>
      <c r="V61" s="1"/>
      <c r="W61" s="1"/>
      <c r="X61" s="1"/>
      <c r="Y61" s="1"/>
      <c r="Z61" s="1"/>
    </row>
    <row r="62" ht="21.75" customHeight="1">
      <c r="A62" s="1"/>
      <c r="B62" s="1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2"/>
      <c r="S62" s="3"/>
      <c r="T62" s="3"/>
      <c r="U62" s="4"/>
      <c r="V62" s="1"/>
      <c r="W62" s="1"/>
      <c r="X62" s="1"/>
      <c r="Y62" s="1"/>
      <c r="Z62" s="1"/>
    </row>
    <row r="63" ht="21.75" customHeight="1">
      <c r="A63" s="1"/>
      <c r="B63" s="1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2"/>
      <c r="S63" s="3"/>
      <c r="T63" s="3"/>
      <c r="U63" s="4"/>
      <c r="V63" s="1"/>
      <c r="W63" s="1"/>
      <c r="X63" s="1"/>
      <c r="Y63" s="1"/>
      <c r="Z63" s="1"/>
    </row>
    <row r="64" ht="21.75" customHeight="1">
      <c r="A64" s="1"/>
      <c r="B64" s="1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2"/>
      <c r="S64" s="3"/>
      <c r="T64" s="3"/>
      <c r="U64" s="4"/>
      <c r="V64" s="1"/>
      <c r="W64" s="1"/>
      <c r="X64" s="1"/>
      <c r="Y64" s="1"/>
      <c r="Z64" s="1"/>
    </row>
    <row r="65" ht="21.75" customHeight="1">
      <c r="A65" s="1"/>
      <c r="B65" s="1"/>
      <c r="C65" s="119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7"/>
      <c r="R65" s="2"/>
      <c r="S65" s="3"/>
      <c r="T65" s="3"/>
      <c r="U65" s="4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"/>
      <c r="S66" s="3"/>
      <c r="T66" s="3"/>
      <c r="U66" s="4"/>
      <c r="V66" s="1"/>
      <c r="W66" s="1"/>
      <c r="X66" s="1"/>
      <c r="Y66" s="1"/>
      <c r="Z66" s="1"/>
    </row>
    <row r="67" ht="21.75" customHeight="1">
      <c r="A67" s="1"/>
      <c r="B67" s="1"/>
      <c r="C67" s="120" t="s">
        <v>55</v>
      </c>
      <c r="D67" s="121"/>
      <c r="E67" s="121"/>
      <c r="F67" s="121"/>
      <c r="G67" s="121"/>
      <c r="H67" s="121"/>
      <c r="I67" s="122"/>
      <c r="J67" s="122"/>
      <c r="K67" s="122"/>
      <c r="L67" s="122"/>
      <c r="M67" s="122"/>
      <c r="N67" s="122"/>
      <c r="O67" s="122"/>
      <c r="P67" s="122"/>
      <c r="Q67" s="123"/>
      <c r="R67" s="8"/>
      <c r="S67" s="3"/>
      <c r="T67" s="3"/>
      <c r="U67" s="4"/>
      <c r="V67" s="1"/>
      <c r="W67" s="1"/>
      <c r="X67" s="1"/>
      <c r="Y67" s="1"/>
      <c r="Z67" s="1"/>
    </row>
    <row r="68" ht="21.75" customHeight="1">
      <c r="A68" s="1"/>
      <c r="B68" s="1"/>
      <c r="C68" s="12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25"/>
      <c r="R68" s="2"/>
      <c r="S68" s="3"/>
      <c r="T68" s="3"/>
      <c r="U68" s="4"/>
      <c r="V68" s="1"/>
      <c r="W68" s="1"/>
      <c r="X68" s="1"/>
      <c r="Y68" s="1"/>
      <c r="Z68" s="1"/>
    </row>
    <row r="69" ht="21.75" customHeight="1">
      <c r="A69" s="1"/>
      <c r="B69" s="1"/>
      <c r="C69" s="124" t="s">
        <v>56</v>
      </c>
      <c r="D69" s="1"/>
      <c r="E69" s="118"/>
      <c r="F69" s="118"/>
      <c r="G69" s="118"/>
      <c r="H69" s="118"/>
      <c r="I69" s="118"/>
      <c r="J69" s="118"/>
      <c r="K69" s="1"/>
      <c r="L69" s="126" t="s">
        <v>57</v>
      </c>
      <c r="M69" s="117"/>
      <c r="N69" s="118"/>
      <c r="O69" s="118"/>
      <c r="P69" s="118"/>
      <c r="Q69" s="125"/>
      <c r="R69" s="2"/>
      <c r="S69" s="3"/>
      <c r="T69" s="3"/>
      <c r="U69" s="4"/>
      <c r="V69" s="1"/>
      <c r="W69" s="1"/>
      <c r="X69" s="1"/>
      <c r="Y69" s="1"/>
      <c r="Z69" s="1"/>
    </row>
    <row r="70" ht="21.75" customHeight="1">
      <c r="A70" s="1"/>
      <c r="B70" s="1"/>
      <c r="C70" s="127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28"/>
      <c r="R70" s="2"/>
      <c r="S70" s="3"/>
      <c r="T70" s="3"/>
      <c r="U70" s="4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"/>
      <c r="S71" s="3"/>
      <c r="T71" s="3"/>
      <c r="U71" s="4"/>
      <c r="V71" s="1"/>
      <c r="W71" s="1"/>
      <c r="X71" s="1"/>
      <c r="Y71" s="1"/>
      <c r="Z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"/>
      <c r="S72" s="3"/>
      <c r="T72" s="3"/>
      <c r="U72" s="4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"/>
      <c r="S73" s="3"/>
      <c r="T73" s="3"/>
      <c r="U73" s="4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"/>
      <c r="S74" s="3"/>
      <c r="T74" s="3"/>
      <c r="U74" s="4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2"/>
      <c r="S75" s="3"/>
      <c r="T75" s="3"/>
      <c r="U75" s="4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2"/>
      <c r="S76" s="3"/>
      <c r="T76" s="3"/>
      <c r="U76" s="4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2"/>
      <c r="S77" s="3"/>
      <c r="T77" s="3"/>
      <c r="U77" s="4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2"/>
      <c r="S78" s="3"/>
      <c r="T78" s="3"/>
      <c r="U78" s="4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2"/>
      <c r="S79" s="3"/>
      <c r="T79" s="3"/>
      <c r="U79" s="4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2"/>
      <c r="S80" s="3"/>
      <c r="T80" s="3"/>
      <c r="U80" s="4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2"/>
      <c r="S81" s="3"/>
      <c r="T81" s="3"/>
      <c r="U81" s="4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2"/>
      <c r="S82" s="3"/>
      <c r="T82" s="3"/>
      <c r="U82" s="4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2"/>
      <c r="S83" s="3"/>
      <c r="T83" s="3"/>
      <c r="U83" s="4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2"/>
      <c r="S84" s="3"/>
      <c r="T84" s="3"/>
      <c r="U84" s="4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2"/>
      <c r="S85" s="3"/>
      <c r="T85" s="3"/>
      <c r="U85" s="4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2"/>
      <c r="S86" s="3"/>
      <c r="T86" s="3"/>
      <c r="U86" s="4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2"/>
      <c r="S87" s="3"/>
      <c r="T87" s="3"/>
      <c r="U87" s="4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2"/>
      <c r="S88" s="3"/>
      <c r="T88" s="3"/>
      <c r="U88" s="4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2"/>
      <c r="S89" s="3"/>
      <c r="T89" s="3"/>
      <c r="U89" s="4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2"/>
      <c r="S90" s="3"/>
      <c r="T90" s="3"/>
      <c r="U90" s="4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2"/>
      <c r="S91" s="3"/>
      <c r="T91" s="3"/>
      <c r="U91" s="4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2"/>
      <c r="S92" s="3"/>
      <c r="T92" s="3"/>
      <c r="U92" s="4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"/>
      <c r="S93" s="3"/>
      <c r="T93" s="3"/>
      <c r="U93" s="4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2"/>
      <c r="S94" s="3"/>
      <c r="T94" s="3"/>
      <c r="U94" s="4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2"/>
      <c r="S95" s="3"/>
      <c r="T95" s="3"/>
      <c r="U95" s="4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2"/>
      <c r="S96" s="3"/>
      <c r="T96" s="3"/>
      <c r="U96" s="4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2"/>
      <c r="S97" s="3"/>
      <c r="T97" s="3"/>
      <c r="U97" s="4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2"/>
      <c r="S98" s="3"/>
      <c r="T98" s="3"/>
      <c r="U98" s="4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2"/>
      <c r="S99" s="3"/>
      <c r="T99" s="3"/>
      <c r="U99" s="4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2"/>
      <c r="S100" s="3"/>
      <c r="T100" s="3"/>
      <c r="U100" s="4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2"/>
      <c r="S101" s="3"/>
      <c r="T101" s="3"/>
      <c r="U101" s="4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2"/>
      <c r="S102" s="3"/>
      <c r="T102" s="3"/>
      <c r="U102" s="4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2"/>
      <c r="S103" s="3"/>
      <c r="T103" s="3"/>
      <c r="U103" s="4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2"/>
      <c r="S104" s="3"/>
      <c r="T104" s="3"/>
      <c r="U104" s="4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2"/>
      <c r="S105" s="3"/>
      <c r="T105" s="3"/>
      <c r="U105" s="4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2"/>
      <c r="S106" s="3"/>
      <c r="T106" s="3"/>
      <c r="U106" s="4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2"/>
      <c r="S107" s="3"/>
      <c r="T107" s="3"/>
      <c r="U107" s="4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2"/>
      <c r="S108" s="3"/>
      <c r="T108" s="3"/>
      <c r="U108" s="4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2"/>
      <c r="S109" s="3"/>
      <c r="T109" s="3"/>
      <c r="U109" s="4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2"/>
      <c r="S110" s="3"/>
      <c r="T110" s="3"/>
      <c r="U110" s="4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2"/>
      <c r="S111" s="3"/>
      <c r="T111" s="3"/>
      <c r="U111" s="4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2"/>
      <c r="S112" s="3"/>
      <c r="T112" s="3"/>
      <c r="U112" s="4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2"/>
      <c r="S113" s="3"/>
      <c r="T113" s="3"/>
      <c r="U113" s="4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2"/>
      <c r="S114" s="3"/>
      <c r="T114" s="3"/>
      <c r="U114" s="4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2"/>
      <c r="S115" s="3"/>
      <c r="T115" s="3"/>
      <c r="U115" s="4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2"/>
      <c r="S116" s="3"/>
      <c r="T116" s="3"/>
      <c r="U116" s="4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2"/>
      <c r="S117" s="3"/>
      <c r="T117" s="3"/>
      <c r="U117" s="4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2"/>
      <c r="S118" s="3"/>
      <c r="T118" s="3"/>
      <c r="U118" s="4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2"/>
      <c r="S119" s="3"/>
      <c r="T119" s="3"/>
      <c r="U119" s="4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2"/>
      <c r="S120" s="3"/>
      <c r="T120" s="3"/>
      <c r="U120" s="4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2"/>
      <c r="S121" s="3"/>
      <c r="T121" s="3"/>
      <c r="U121" s="4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2"/>
      <c r="S122" s="3"/>
      <c r="T122" s="3"/>
      <c r="U122" s="4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2"/>
      <c r="S123" s="3"/>
      <c r="T123" s="3"/>
      <c r="U123" s="4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2"/>
      <c r="S124" s="3"/>
      <c r="T124" s="3"/>
      <c r="U124" s="4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2"/>
      <c r="S125" s="3"/>
      <c r="T125" s="3"/>
      <c r="U125" s="4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2"/>
      <c r="S126" s="3"/>
      <c r="T126" s="3"/>
      <c r="U126" s="4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2"/>
      <c r="S127" s="3"/>
      <c r="T127" s="3"/>
      <c r="U127" s="4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2"/>
      <c r="S128" s="3"/>
      <c r="T128" s="3"/>
      <c r="U128" s="4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2"/>
      <c r="S129" s="3"/>
      <c r="T129" s="3"/>
      <c r="U129" s="4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2"/>
      <c r="S130" s="3"/>
      <c r="T130" s="3"/>
      <c r="U130" s="4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2"/>
      <c r="S131" s="3"/>
      <c r="T131" s="3"/>
      <c r="U131" s="4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2"/>
      <c r="S132" s="3"/>
      <c r="T132" s="3"/>
      <c r="U132" s="4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2"/>
      <c r="S133" s="3"/>
      <c r="T133" s="3"/>
      <c r="U133" s="4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2"/>
      <c r="S134" s="3"/>
      <c r="T134" s="3"/>
      <c r="U134" s="4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"/>
      <c r="S135" s="3"/>
      <c r="T135" s="3"/>
      <c r="U135" s="4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2"/>
      <c r="S136" s="3"/>
      <c r="T136" s="3"/>
      <c r="U136" s="4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2"/>
      <c r="S137" s="3"/>
      <c r="T137" s="3"/>
      <c r="U137" s="4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2"/>
      <c r="S138" s="3"/>
      <c r="T138" s="3"/>
      <c r="U138" s="4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2"/>
      <c r="S139" s="3"/>
      <c r="T139" s="3"/>
      <c r="U139" s="4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2"/>
      <c r="S140" s="3"/>
      <c r="T140" s="3"/>
      <c r="U140" s="4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2"/>
      <c r="S141" s="3"/>
      <c r="T141" s="3"/>
      <c r="U141" s="4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2"/>
      <c r="S142" s="3"/>
      <c r="T142" s="3"/>
      <c r="U142" s="4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2"/>
      <c r="S143" s="3"/>
      <c r="T143" s="3"/>
      <c r="U143" s="4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2"/>
      <c r="S144" s="3"/>
      <c r="T144" s="3"/>
      <c r="U144" s="4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2"/>
      <c r="S145" s="3"/>
      <c r="T145" s="3"/>
      <c r="U145" s="4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2"/>
      <c r="S146" s="3"/>
      <c r="T146" s="3"/>
      <c r="U146" s="4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2"/>
      <c r="S147" s="3"/>
      <c r="T147" s="3"/>
      <c r="U147" s="4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2"/>
      <c r="S148" s="3"/>
      <c r="T148" s="3"/>
      <c r="U148" s="4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2"/>
      <c r="S149" s="3"/>
      <c r="T149" s="3"/>
      <c r="U149" s="4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2"/>
      <c r="S150" s="3"/>
      <c r="T150" s="3"/>
      <c r="U150" s="4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2"/>
      <c r="S151" s="3"/>
      <c r="T151" s="3"/>
      <c r="U151" s="4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2"/>
      <c r="S152" s="3"/>
      <c r="T152" s="3"/>
      <c r="U152" s="4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2"/>
      <c r="S153" s="3"/>
      <c r="T153" s="3"/>
      <c r="U153" s="4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2"/>
      <c r="S154" s="3"/>
      <c r="T154" s="3"/>
      <c r="U154" s="4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2"/>
      <c r="S155" s="3"/>
      <c r="T155" s="3"/>
      <c r="U155" s="4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2"/>
      <c r="S156" s="3"/>
      <c r="T156" s="3"/>
      <c r="U156" s="4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2"/>
      <c r="S157" s="3"/>
      <c r="T157" s="3"/>
      <c r="U157" s="4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2"/>
      <c r="S158" s="3"/>
      <c r="T158" s="3"/>
      <c r="U158" s="4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2"/>
      <c r="S159" s="3"/>
      <c r="T159" s="3"/>
      <c r="U159" s="4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2"/>
      <c r="S160" s="3"/>
      <c r="T160" s="3"/>
      <c r="U160" s="4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2"/>
      <c r="S161" s="3"/>
      <c r="T161" s="3"/>
      <c r="U161" s="4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2"/>
      <c r="S162" s="3"/>
      <c r="T162" s="3"/>
      <c r="U162" s="4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2"/>
      <c r="S163" s="3"/>
      <c r="T163" s="3"/>
      <c r="U163" s="4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2"/>
      <c r="S164" s="3"/>
      <c r="T164" s="3"/>
      <c r="U164" s="4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2"/>
      <c r="S165" s="3"/>
      <c r="T165" s="3"/>
      <c r="U165" s="4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2"/>
      <c r="S166" s="3"/>
      <c r="T166" s="3"/>
      <c r="U166" s="4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2"/>
      <c r="S167" s="3"/>
      <c r="T167" s="3"/>
      <c r="U167" s="4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2"/>
      <c r="S168" s="3"/>
      <c r="T168" s="3"/>
      <c r="U168" s="4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2"/>
      <c r="S169" s="3"/>
      <c r="T169" s="3"/>
      <c r="U169" s="4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2"/>
      <c r="S170" s="3"/>
      <c r="T170" s="3"/>
      <c r="U170" s="4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2"/>
      <c r="S171" s="3"/>
      <c r="T171" s="3"/>
      <c r="U171" s="4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2"/>
      <c r="S172" s="3"/>
      <c r="T172" s="3"/>
      <c r="U172" s="4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2"/>
      <c r="S173" s="3"/>
      <c r="T173" s="3"/>
      <c r="U173" s="4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2"/>
      <c r="S174" s="3"/>
      <c r="T174" s="3"/>
      <c r="U174" s="4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2"/>
      <c r="S175" s="3"/>
      <c r="T175" s="3"/>
      <c r="U175" s="4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2"/>
      <c r="S176" s="3"/>
      <c r="T176" s="3"/>
      <c r="U176" s="4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2"/>
      <c r="S177" s="3"/>
      <c r="T177" s="3"/>
      <c r="U177" s="4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2"/>
      <c r="S178" s="3"/>
      <c r="T178" s="3"/>
      <c r="U178" s="4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2"/>
      <c r="S179" s="3"/>
      <c r="T179" s="3"/>
      <c r="U179" s="4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2"/>
      <c r="S180" s="3"/>
      <c r="T180" s="3"/>
      <c r="U180" s="4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2"/>
      <c r="S181" s="3"/>
      <c r="T181" s="3"/>
      <c r="U181" s="4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2"/>
      <c r="S182" s="3"/>
      <c r="T182" s="3"/>
      <c r="U182" s="4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2"/>
      <c r="S183" s="3"/>
      <c r="T183" s="3"/>
      <c r="U183" s="4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2"/>
      <c r="S184" s="3"/>
      <c r="T184" s="3"/>
      <c r="U184" s="4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2"/>
      <c r="S185" s="3"/>
      <c r="T185" s="3"/>
      <c r="U185" s="4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2"/>
      <c r="S186" s="3"/>
      <c r="T186" s="3"/>
      <c r="U186" s="4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2"/>
      <c r="S187" s="3"/>
      <c r="T187" s="3"/>
      <c r="U187" s="4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2"/>
      <c r="S188" s="3"/>
      <c r="T188" s="3"/>
      <c r="U188" s="4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2"/>
      <c r="S189" s="3"/>
      <c r="T189" s="3"/>
      <c r="U189" s="4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2"/>
      <c r="S190" s="3"/>
      <c r="T190" s="3"/>
      <c r="U190" s="4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2"/>
      <c r="S191" s="3"/>
      <c r="T191" s="3"/>
      <c r="U191" s="4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2"/>
      <c r="S192" s="3"/>
      <c r="T192" s="3"/>
      <c r="U192" s="4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2"/>
      <c r="S193" s="3"/>
      <c r="T193" s="3"/>
      <c r="U193" s="4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2"/>
      <c r="S194" s="3"/>
      <c r="T194" s="3"/>
      <c r="U194" s="4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2"/>
      <c r="S195" s="3"/>
      <c r="T195" s="3"/>
      <c r="U195" s="4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2"/>
      <c r="S196" s="3"/>
      <c r="T196" s="3"/>
      <c r="U196" s="4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2"/>
      <c r="S197" s="3"/>
      <c r="T197" s="3"/>
      <c r="U197" s="4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2"/>
      <c r="S198" s="3"/>
      <c r="T198" s="3"/>
      <c r="U198" s="4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2"/>
      <c r="S199" s="3"/>
      <c r="T199" s="3"/>
      <c r="U199" s="4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2"/>
      <c r="S200" s="3"/>
      <c r="T200" s="3"/>
      <c r="U200" s="4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2"/>
      <c r="S201" s="3"/>
      <c r="T201" s="3"/>
      <c r="U201" s="4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2"/>
      <c r="S202" s="3"/>
      <c r="T202" s="3"/>
      <c r="U202" s="4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2"/>
      <c r="S203" s="3"/>
      <c r="T203" s="3"/>
      <c r="U203" s="4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2"/>
      <c r="S204" s="3"/>
      <c r="T204" s="3"/>
      <c r="U204" s="4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2"/>
      <c r="S205" s="3"/>
      <c r="T205" s="3"/>
      <c r="U205" s="4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2"/>
      <c r="S206" s="3"/>
      <c r="T206" s="3"/>
      <c r="U206" s="4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2"/>
      <c r="S207" s="3"/>
      <c r="T207" s="3"/>
      <c r="U207" s="4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2"/>
      <c r="S208" s="3"/>
      <c r="T208" s="3"/>
      <c r="U208" s="4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2"/>
      <c r="S209" s="3"/>
      <c r="T209" s="3"/>
      <c r="U209" s="4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2"/>
      <c r="S210" s="3"/>
      <c r="T210" s="3"/>
      <c r="U210" s="4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2"/>
      <c r="S211" s="3"/>
      <c r="T211" s="3"/>
      <c r="U211" s="4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2"/>
      <c r="S212" s="3"/>
      <c r="T212" s="3"/>
      <c r="U212" s="4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2"/>
      <c r="S213" s="3"/>
      <c r="T213" s="3"/>
      <c r="U213" s="4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2"/>
      <c r="S214" s="3"/>
      <c r="T214" s="3"/>
      <c r="U214" s="4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2"/>
      <c r="S215" s="3"/>
      <c r="T215" s="3"/>
      <c r="U215" s="4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2"/>
      <c r="S216" s="3"/>
      <c r="T216" s="3"/>
      <c r="U216" s="4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2"/>
      <c r="S217" s="3"/>
      <c r="T217" s="3"/>
      <c r="U217" s="4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2"/>
      <c r="S218" s="3"/>
      <c r="T218" s="3"/>
      <c r="U218" s="4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2"/>
      <c r="S219" s="3"/>
      <c r="T219" s="3"/>
      <c r="U219" s="4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2"/>
      <c r="S220" s="3"/>
      <c r="T220" s="3"/>
      <c r="U220" s="4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2"/>
      <c r="S221" s="3"/>
      <c r="T221" s="3"/>
      <c r="U221" s="4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2"/>
      <c r="S222" s="3"/>
      <c r="T222" s="3"/>
      <c r="U222" s="4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2"/>
      <c r="S223" s="3"/>
      <c r="T223" s="3"/>
      <c r="U223" s="4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2"/>
      <c r="S224" s="3"/>
      <c r="T224" s="3"/>
      <c r="U224" s="4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2"/>
      <c r="S225" s="3"/>
      <c r="T225" s="3"/>
      <c r="U225" s="4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2"/>
      <c r="S226" s="3"/>
      <c r="T226" s="3"/>
      <c r="U226" s="4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2"/>
      <c r="S227" s="3"/>
      <c r="T227" s="3"/>
      <c r="U227" s="4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2"/>
      <c r="S228" s="3"/>
      <c r="T228" s="3"/>
      <c r="U228" s="4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2"/>
      <c r="S229" s="3"/>
      <c r="T229" s="3"/>
      <c r="U229" s="4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2"/>
      <c r="S230" s="3"/>
      <c r="T230" s="3"/>
      <c r="U230" s="4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2"/>
      <c r="S231" s="3"/>
      <c r="T231" s="3"/>
      <c r="U231" s="4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2"/>
      <c r="S232" s="3"/>
      <c r="T232" s="3"/>
      <c r="U232" s="4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2"/>
      <c r="S233" s="3"/>
      <c r="T233" s="3"/>
      <c r="U233" s="4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2"/>
      <c r="S234" s="3"/>
      <c r="T234" s="3"/>
      <c r="U234" s="4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2"/>
      <c r="S235" s="3"/>
      <c r="T235" s="3"/>
      <c r="U235" s="4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2"/>
      <c r="S236" s="3"/>
      <c r="T236" s="3"/>
      <c r="U236" s="4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2"/>
      <c r="S237" s="3"/>
      <c r="T237" s="3"/>
      <c r="U237" s="4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2"/>
      <c r="S238" s="3"/>
      <c r="T238" s="3"/>
      <c r="U238" s="4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2"/>
      <c r="S239" s="3"/>
      <c r="T239" s="3"/>
      <c r="U239" s="4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2"/>
      <c r="S240" s="3"/>
      <c r="T240" s="3"/>
      <c r="U240" s="4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2"/>
      <c r="S241" s="3"/>
      <c r="T241" s="3"/>
      <c r="U241" s="4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2"/>
      <c r="S242" s="3"/>
      <c r="T242" s="3"/>
      <c r="U242" s="4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2"/>
      <c r="S243" s="3"/>
      <c r="T243" s="3"/>
      <c r="U243" s="4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2"/>
      <c r="S244" s="3"/>
      <c r="T244" s="3"/>
      <c r="U244" s="4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2"/>
      <c r="S245" s="3"/>
      <c r="T245" s="3"/>
      <c r="U245" s="4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2"/>
      <c r="S246" s="3"/>
      <c r="T246" s="3"/>
      <c r="U246" s="4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2"/>
      <c r="S247" s="3"/>
      <c r="T247" s="3"/>
      <c r="U247" s="4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2"/>
      <c r="S248" s="3"/>
      <c r="T248" s="3"/>
      <c r="U248" s="4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2"/>
      <c r="S249" s="3"/>
      <c r="T249" s="3"/>
      <c r="U249" s="4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2"/>
      <c r="S250" s="3"/>
      <c r="T250" s="3"/>
      <c r="U250" s="4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2"/>
      <c r="S251" s="3"/>
      <c r="T251" s="3"/>
      <c r="U251" s="4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2"/>
      <c r="S252" s="3"/>
      <c r="T252" s="3"/>
      <c r="U252" s="4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2"/>
      <c r="S253" s="3"/>
      <c r="T253" s="3"/>
      <c r="U253" s="4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2"/>
      <c r="S254" s="3"/>
      <c r="T254" s="3"/>
      <c r="U254" s="4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2"/>
      <c r="S255" s="3"/>
      <c r="T255" s="3"/>
      <c r="U255" s="4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2"/>
      <c r="S256" s="3"/>
      <c r="T256" s="3"/>
      <c r="U256" s="4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2"/>
      <c r="S257" s="3"/>
      <c r="T257" s="3"/>
      <c r="U257" s="4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2"/>
      <c r="S258" s="3"/>
      <c r="T258" s="3"/>
      <c r="U258" s="4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2"/>
      <c r="S259" s="3"/>
      <c r="T259" s="3"/>
      <c r="U259" s="4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2"/>
      <c r="S260" s="3"/>
      <c r="T260" s="3"/>
      <c r="U260" s="4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2"/>
      <c r="S261" s="3"/>
      <c r="T261" s="3"/>
      <c r="U261" s="4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2"/>
      <c r="S262" s="3"/>
      <c r="T262" s="3"/>
      <c r="U262" s="4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2"/>
      <c r="S263" s="3"/>
      <c r="T263" s="3"/>
      <c r="U263" s="4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2"/>
      <c r="S264" s="3"/>
      <c r="T264" s="3"/>
      <c r="U264" s="4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2"/>
      <c r="S265" s="3"/>
      <c r="T265" s="3"/>
      <c r="U265" s="4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2"/>
      <c r="S266" s="3"/>
      <c r="T266" s="3"/>
      <c r="U266" s="4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2"/>
      <c r="S267" s="3"/>
      <c r="T267" s="3"/>
      <c r="U267" s="4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2"/>
      <c r="S268" s="3"/>
      <c r="T268" s="3"/>
      <c r="U268" s="4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2"/>
      <c r="S269" s="3"/>
      <c r="T269" s="3"/>
      <c r="U269" s="4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2"/>
      <c r="S270" s="3"/>
      <c r="T270" s="3"/>
      <c r="U270" s="4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2"/>
      <c r="S271" s="3"/>
      <c r="T271" s="3"/>
      <c r="U271" s="4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2"/>
      <c r="S272" s="3"/>
      <c r="T272" s="3"/>
      <c r="U272" s="4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2"/>
      <c r="S273" s="3"/>
      <c r="T273" s="3"/>
      <c r="U273" s="4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2"/>
      <c r="S274" s="3"/>
      <c r="T274" s="3"/>
      <c r="U274" s="4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2"/>
      <c r="S275" s="3"/>
      <c r="T275" s="3"/>
      <c r="U275" s="4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2"/>
      <c r="S276" s="3"/>
      <c r="T276" s="3"/>
      <c r="U276" s="4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2"/>
      <c r="S277" s="3"/>
      <c r="T277" s="3"/>
      <c r="U277" s="4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2"/>
      <c r="S278" s="3"/>
      <c r="T278" s="3"/>
      <c r="U278" s="4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2"/>
      <c r="S279" s="3"/>
      <c r="T279" s="3"/>
      <c r="U279" s="4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2"/>
      <c r="S280" s="3"/>
      <c r="T280" s="3"/>
      <c r="U280" s="4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2"/>
      <c r="S281" s="3"/>
      <c r="T281" s="3"/>
      <c r="U281" s="4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2"/>
      <c r="S282" s="3"/>
      <c r="T282" s="3"/>
      <c r="U282" s="4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2"/>
      <c r="S283" s="3"/>
      <c r="T283" s="3"/>
      <c r="U283" s="4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2"/>
      <c r="S284" s="3"/>
      <c r="T284" s="3"/>
      <c r="U284" s="4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2"/>
      <c r="S285" s="3"/>
      <c r="T285" s="3"/>
      <c r="U285" s="4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2"/>
      <c r="S286" s="3"/>
      <c r="T286" s="3"/>
      <c r="U286" s="4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2"/>
      <c r="S287" s="3"/>
      <c r="T287" s="3"/>
      <c r="U287" s="4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2"/>
      <c r="S288" s="3"/>
      <c r="T288" s="3"/>
      <c r="U288" s="4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2"/>
      <c r="S289" s="3"/>
      <c r="T289" s="3"/>
      <c r="U289" s="4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2"/>
      <c r="S290" s="3"/>
      <c r="T290" s="3"/>
      <c r="U290" s="4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2"/>
      <c r="S291" s="3"/>
      <c r="T291" s="3"/>
      <c r="U291" s="4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2"/>
      <c r="S292" s="3"/>
      <c r="T292" s="3"/>
      <c r="U292" s="4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2"/>
      <c r="S293" s="3"/>
      <c r="T293" s="3"/>
      <c r="U293" s="4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2"/>
      <c r="S294" s="3"/>
      <c r="T294" s="3"/>
      <c r="U294" s="4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2"/>
      <c r="S295" s="3"/>
      <c r="T295" s="3"/>
      <c r="U295" s="4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2"/>
      <c r="S296" s="3"/>
      <c r="T296" s="3"/>
      <c r="U296" s="4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2"/>
      <c r="S297" s="3"/>
      <c r="T297" s="3"/>
      <c r="U297" s="4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2"/>
      <c r="S298" s="3"/>
      <c r="T298" s="3"/>
      <c r="U298" s="4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2"/>
      <c r="S299" s="3"/>
      <c r="T299" s="3"/>
      <c r="U299" s="4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2"/>
      <c r="S300" s="3"/>
      <c r="T300" s="3"/>
      <c r="U300" s="4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2"/>
      <c r="S301" s="3"/>
      <c r="T301" s="3"/>
      <c r="U301" s="4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2"/>
      <c r="S302" s="3"/>
      <c r="T302" s="3"/>
      <c r="U302" s="4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2"/>
      <c r="S303" s="3"/>
      <c r="T303" s="3"/>
      <c r="U303" s="4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2"/>
      <c r="S304" s="3"/>
      <c r="T304" s="3"/>
      <c r="U304" s="4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2"/>
      <c r="S305" s="3"/>
      <c r="T305" s="3"/>
      <c r="U305" s="4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2"/>
      <c r="S306" s="3"/>
      <c r="T306" s="3"/>
      <c r="U306" s="4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2"/>
      <c r="S307" s="3"/>
      <c r="T307" s="3"/>
      <c r="U307" s="4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2"/>
      <c r="S308" s="3"/>
      <c r="T308" s="3"/>
      <c r="U308" s="4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2"/>
      <c r="S309" s="3"/>
      <c r="T309" s="3"/>
      <c r="U309" s="4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2"/>
      <c r="S310" s="3"/>
      <c r="T310" s="3"/>
      <c r="U310" s="4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2"/>
      <c r="S311" s="3"/>
      <c r="T311" s="3"/>
      <c r="U311" s="4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2"/>
      <c r="S312" s="3"/>
      <c r="T312" s="3"/>
      <c r="U312" s="4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2"/>
      <c r="S313" s="3"/>
      <c r="T313" s="3"/>
      <c r="U313" s="4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2"/>
      <c r="S314" s="3"/>
      <c r="T314" s="3"/>
      <c r="U314" s="4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2"/>
      <c r="S315" s="3"/>
      <c r="T315" s="3"/>
      <c r="U315" s="4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2"/>
      <c r="S316" s="3"/>
      <c r="T316" s="3"/>
      <c r="U316" s="4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2"/>
      <c r="S317" s="3"/>
      <c r="T317" s="3"/>
      <c r="U317" s="4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2"/>
      <c r="S318" s="3"/>
      <c r="T318" s="3"/>
      <c r="U318" s="4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2"/>
      <c r="S319" s="3"/>
      <c r="T319" s="3"/>
      <c r="U319" s="4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2"/>
      <c r="S320" s="3"/>
      <c r="T320" s="3"/>
      <c r="U320" s="4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2"/>
      <c r="S321" s="3"/>
      <c r="T321" s="3"/>
      <c r="U321" s="4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2"/>
      <c r="S322" s="3"/>
      <c r="T322" s="3"/>
      <c r="U322" s="4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2"/>
      <c r="S323" s="3"/>
      <c r="T323" s="3"/>
      <c r="U323" s="4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2"/>
      <c r="S324" s="3"/>
      <c r="T324" s="3"/>
      <c r="U324" s="4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2"/>
      <c r="S325" s="3"/>
      <c r="T325" s="3"/>
      <c r="U325" s="4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2"/>
      <c r="S326" s="3"/>
      <c r="T326" s="3"/>
      <c r="U326" s="4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2"/>
      <c r="S327" s="3"/>
      <c r="T327" s="3"/>
      <c r="U327" s="4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2"/>
      <c r="S328" s="3"/>
      <c r="T328" s="3"/>
      <c r="U328" s="4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2"/>
      <c r="S329" s="3"/>
      <c r="T329" s="3"/>
      <c r="U329" s="4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2"/>
      <c r="S330" s="3"/>
      <c r="T330" s="3"/>
      <c r="U330" s="4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2"/>
      <c r="S331" s="3"/>
      <c r="T331" s="3"/>
      <c r="U331" s="4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2"/>
      <c r="S332" s="3"/>
      <c r="T332" s="3"/>
      <c r="U332" s="4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2"/>
      <c r="S333" s="3"/>
      <c r="T333" s="3"/>
      <c r="U333" s="4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2"/>
      <c r="S334" s="3"/>
      <c r="T334" s="3"/>
      <c r="U334" s="4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2"/>
      <c r="S335" s="3"/>
      <c r="T335" s="3"/>
      <c r="U335" s="4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2"/>
      <c r="S336" s="3"/>
      <c r="T336" s="3"/>
      <c r="U336" s="4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2"/>
      <c r="S337" s="3"/>
      <c r="T337" s="3"/>
      <c r="U337" s="4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2"/>
      <c r="S338" s="3"/>
      <c r="T338" s="3"/>
      <c r="U338" s="4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2"/>
      <c r="S339" s="3"/>
      <c r="T339" s="3"/>
      <c r="U339" s="4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2"/>
      <c r="S340" s="3"/>
      <c r="T340" s="3"/>
      <c r="U340" s="4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2"/>
      <c r="S341" s="3"/>
      <c r="T341" s="3"/>
      <c r="U341" s="4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2"/>
      <c r="S342" s="3"/>
      <c r="T342" s="3"/>
      <c r="U342" s="4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2"/>
      <c r="S343" s="3"/>
      <c r="T343" s="3"/>
      <c r="U343" s="4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2"/>
      <c r="S344" s="3"/>
      <c r="T344" s="3"/>
      <c r="U344" s="4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2"/>
      <c r="S345" s="3"/>
      <c r="T345" s="3"/>
      <c r="U345" s="4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2"/>
      <c r="S346" s="3"/>
      <c r="T346" s="3"/>
      <c r="U346" s="4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2"/>
      <c r="S347" s="3"/>
      <c r="T347" s="3"/>
      <c r="U347" s="4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2"/>
      <c r="S348" s="3"/>
      <c r="T348" s="3"/>
      <c r="U348" s="4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2"/>
      <c r="S349" s="3"/>
      <c r="T349" s="3"/>
      <c r="U349" s="4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2"/>
      <c r="S350" s="3"/>
      <c r="T350" s="3"/>
      <c r="U350" s="4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2"/>
      <c r="S351" s="3"/>
      <c r="T351" s="3"/>
      <c r="U351" s="4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2"/>
      <c r="S352" s="3"/>
      <c r="T352" s="3"/>
      <c r="U352" s="4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2"/>
      <c r="S353" s="3"/>
      <c r="T353" s="3"/>
      <c r="U353" s="4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2"/>
      <c r="S354" s="3"/>
      <c r="T354" s="3"/>
      <c r="U354" s="4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2"/>
      <c r="S355" s="3"/>
      <c r="T355" s="3"/>
      <c r="U355" s="4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2"/>
      <c r="S356" s="3"/>
      <c r="T356" s="3"/>
      <c r="U356" s="4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2"/>
      <c r="S357" s="3"/>
      <c r="T357" s="3"/>
      <c r="U357" s="4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2"/>
      <c r="S358" s="3"/>
      <c r="T358" s="3"/>
      <c r="U358" s="4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2"/>
      <c r="S359" s="3"/>
      <c r="T359" s="3"/>
      <c r="U359" s="4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2"/>
      <c r="S360" s="3"/>
      <c r="T360" s="3"/>
      <c r="U360" s="4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2"/>
      <c r="S361" s="3"/>
      <c r="T361" s="3"/>
      <c r="U361" s="4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2"/>
      <c r="S362" s="3"/>
      <c r="T362" s="3"/>
      <c r="U362" s="4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2"/>
      <c r="S363" s="3"/>
      <c r="T363" s="3"/>
      <c r="U363" s="4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2"/>
      <c r="S364" s="3"/>
      <c r="T364" s="3"/>
      <c r="U364" s="4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2"/>
      <c r="S365" s="3"/>
      <c r="T365" s="3"/>
      <c r="U365" s="4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2"/>
      <c r="S366" s="3"/>
      <c r="T366" s="3"/>
      <c r="U366" s="4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2"/>
      <c r="S367" s="3"/>
      <c r="T367" s="3"/>
      <c r="U367" s="4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2"/>
      <c r="S368" s="3"/>
      <c r="T368" s="3"/>
      <c r="U368" s="4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2"/>
      <c r="S369" s="3"/>
      <c r="T369" s="3"/>
      <c r="U369" s="4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2"/>
      <c r="S370" s="3"/>
      <c r="T370" s="3"/>
      <c r="U370" s="4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2"/>
      <c r="S371" s="3"/>
      <c r="T371" s="3"/>
      <c r="U371" s="4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2"/>
      <c r="S372" s="3"/>
      <c r="T372" s="3"/>
      <c r="U372" s="4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2"/>
      <c r="S373" s="3"/>
      <c r="T373" s="3"/>
      <c r="U373" s="4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2"/>
      <c r="S374" s="3"/>
      <c r="T374" s="3"/>
      <c r="U374" s="4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2"/>
      <c r="S375" s="3"/>
      <c r="T375" s="3"/>
      <c r="U375" s="4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2"/>
      <c r="S376" s="3"/>
      <c r="T376" s="3"/>
      <c r="U376" s="4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2"/>
      <c r="S377" s="3"/>
      <c r="T377" s="3"/>
      <c r="U377" s="4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2"/>
      <c r="S378" s="3"/>
      <c r="T378" s="3"/>
      <c r="U378" s="4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2"/>
      <c r="S379" s="3"/>
      <c r="T379" s="3"/>
      <c r="U379" s="4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2"/>
      <c r="S380" s="3"/>
      <c r="T380" s="3"/>
      <c r="U380" s="4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2"/>
      <c r="S381" s="3"/>
      <c r="T381" s="3"/>
      <c r="U381" s="4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2"/>
      <c r="S382" s="3"/>
      <c r="T382" s="3"/>
      <c r="U382" s="4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2"/>
      <c r="S383" s="3"/>
      <c r="T383" s="3"/>
      <c r="U383" s="4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2"/>
      <c r="S384" s="3"/>
      <c r="T384" s="3"/>
      <c r="U384" s="4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2"/>
      <c r="S385" s="3"/>
      <c r="T385" s="3"/>
      <c r="U385" s="4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2"/>
      <c r="S386" s="3"/>
      <c r="T386" s="3"/>
      <c r="U386" s="4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2"/>
      <c r="S387" s="3"/>
      <c r="T387" s="3"/>
      <c r="U387" s="4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2"/>
      <c r="S388" s="3"/>
      <c r="T388" s="3"/>
      <c r="U388" s="4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2"/>
      <c r="S389" s="3"/>
      <c r="T389" s="3"/>
      <c r="U389" s="4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2"/>
      <c r="S390" s="3"/>
      <c r="T390" s="3"/>
      <c r="U390" s="4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2"/>
      <c r="S391" s="3"/>
      <c r="T391" s="3"/>
      <c r="U391" s="4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2"/>
      <c r="S392" s="3"/>
      <c r="T392" s="3"/>
      <c r="U392" s="4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2"/>
      <c r="S393" s="3"/>
      <c r="T393" s="3"/>
      <c r="U393" s="4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2"/>
      <c r="S394" s="3"/>
      <c r="T394" s="3"/>
      <c r="U394" s="4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2"/>
      <c r="S395" s="3"/>
      <c r="T395" s="3"/>
      <c r="U395" s="4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2"/>
      <c r="S396" s="3"/>
      <c r="T396" s="3"/>
      <c r="U396" s="4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2"/>
      <c r="S397" s="3"/>
      <c r="T397" s="3"/>
      <c r="U397" s="4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2"/>
      <c r="S398" s="3"/>
      <c r="T398" s="3"/>
      <c r="U398" s="4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2"/>
      <c r="S399" s="3"/>
      <c r="T399" s="3"/>
      <c r="U399" s="4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2"/>
      <c r="S400" s="3"/>
      <c r="T400" s="3"/>
      <c r="U400" s="4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2"/>
      <c r="S401" s="3"/>
      <c r="T401" s="3"/>
      <c r="U401" s="4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2"/>
      <c r="S402" s="3"/>
      <c r="T402" s="3"/>
      <c r="U402" s="4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2"/>
      <c r="S403" s="3"/>
      <c r="T403" s="3"/>
      <c r="U403" s="4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2"/>
      <c r="S404" s="3"/>
      <c r="T404" s="3"/>
      <c r="U404" s="4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2"/>
      <c r="S405" s="3"/>
      <c r="T405" s="3"/>
      <c r="U405" s="4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2"/>
      <c r="S406" s="3"/>
      <c r="T406" s="3"/>
      <c r="U406" s="4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2"/>
      <c r="S407" s="3"/>
      <c r="T407" s="3"/>
      <c r="U407" s="4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2"/>
      <c r="S408" s="3"/>
      <c r="T408" s="3"/>
      <c r="U408" s="4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2"/>
      <c r="S409" s="3"/>
      <c r="T409" s="3"/>
      <c r="U409" s="4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2"/>
      <c r="S410" s="3"/>
      <c r="T410" s="3"/>
      <c r="U410" s="4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2"/>
      <c r="S411" s="3"/>
      <c r="T411" s="3"/>
      <c r="U411" s="4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2"/>
      <c r="S412" s="3"/>
      <c r="T412" s="3"/>
      <c r="U412" s="4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2"/>
      <c r="S413" s="3"/>
      <c r="T413" s="3"/>
      <c r="U413" s="4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2"/>
      <c r="S414" s="3"/>
      <c r="T414" s="3"/>
      <c r="U414" s="4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2"/>
      <c r="S415" s="3"/>
      <c r="T415" s="3"/>
      <c r="U415" s="4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2"/>
      <c r="S416" s="3"/>
      <c r="T416" s="3"/>
      <c r="U416" s="4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2"/>
      <c r="S417" s="3"/>
      <c r="T417" s="3"/>
      <c r="U417" s="4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2"/>
      <c r="S418" s="3"/>
      <c r="T418" s="3"/>
      <c r="U418" s="4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2"/>
      <c r="S419" s="3"/>
      <c r="T419" s="3"/>
      <c r="U419" s="4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2"/>
      <c r="S420" s="3"/>
      <c r="T420" s="3"/>
      <c r="U420" s="4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2"/>
      <c r="S421" s="3"/>
      <c r="T421" s="3"/>
      <c r="U421" s="4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2"/>
      <c r="S422" s="3"/>
      <c r="T422" s="3"/>
      <c r="U422" s="4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2"/>
      <c r="S423" s="3"/>
      <c r="T423" s="3"/>
      <c r="U423" s="4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2"/>
      <c r="S424" s="3"/>
      <c r="T424" s="3"/>
      <c r="U424" s="4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2"/>
      <c r="S425" s="3"/>
      <c r="T425" s="3"/>
      <c r="U425" s="4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2"/>
      <c r="S426" s="3"/>
      <c r="T426" s="3"/>
      <c r="U426" s="4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2"/>
      <c r="S427" s="3"/>
      <c r="T427" s="3"/>
      <c r="U427" s="4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2"/>
      <c r="S428" s="3"/>
      <c r="T428" s="3"/>
      <c r="U428" s="4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2"/>
      <c r="S429" s="3"/>
      <c r="T429" s="3"/>
      <c r="U429" s="4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2"/>
      <c r="S430" s="3"/>
      <c r="T430" s="3"/>
      <c r="U430" s="4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2"/>
      <c r="S431" s="3"/>
      <c r="T431" s="3"/>
      <c r="U431" s="4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2"/>
      <c r="S432" s="3"/>
      <c r="T432" s="3"/>
      <c r="U432" s="4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2"/>
      <c r="S433" s="3"/>
      <c r="T433" s="3"/>
      <c r="U433" s="4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2"/>
      <c r="S434" s="3"/>
      <c r="T434" s="3"/>
      <c r="U434" s="4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2"/>
      <c r="S435" s="3"/>
      <c r="T435" s="3"/>
      <c r="U435" s="4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2"/>
      <c r="S436" s="3"/>
      <c r="T436" s="3"/>
      <c r="U436" s="4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2"/>
      <c r="S437" s="3"/>
      <c r="T437" s="3"/>
      <c r="U437" s="4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2"/>
      <c r="S438" s="3"/>
      <c r="T438" s="3"/>
      <c r="U438" s="4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2"/>
      <c r="S439" s="3"/>
      <c r="T439" s="3"/>
      <c r="U439" s="4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2"/>
      <c r="S440" s="3"/>
      <c r="T440" s="3"/>
      <c r="U440" s="4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2"/>
      <c r="S441" s="3"/>
      <c r="T441" s="3"/>
      <c r="U441" s="4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2"/>
      <c r="S442" s="3"/>
      <c r="T442" s="3"/>
      <c r="U442" s="4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2"/>
      <c r="S443" s="3"/>
      <c r="T443" s="3"/>
      <c r="U443" s="4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2"/>
      <c r="S444" s="3"/>
      <c r="T444" s="3"/>
      <c r="U444" s="4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2"/>
      <c r="S445" s="3"/>
      <c r="T445" s="3"/>
      <c r="U445" s="4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2"/>
      <c r="S446" s="3"/>
      <c r="T446" s="3"/>
      <c r="U446" s="4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2"/>
      <c r="S447" s="3"/>
      <c r="T447" s="3"/>
      <c r="U447" s="4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2"/>
      <c r="S448" s="3"/>
      <c r="T448" s="3"/>
      <c r="U448" s="4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2"/>
      <c r="S449" s="3"/>
      <c r="T449" s="3"/>
      <c r="U449" s="4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2"/>
      <c r="S450" s="3"/>
      <c r="T450" s="3"/>
      <c r="U450" s="4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2"/>
      <c r="S451" s="3"/>
      <c r="T451" s="3"/>
      <c r="U451" s="4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2"/>
      <c r="S452" s="3"/>
      <c r="T452" s="3"/>
      <c r="U452" s="4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2"/>
      <c r="S453" s="3"/>
      <c r="T453" s="3"/>
      <c r="U453" s="4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2"/>
      <c r="S454" s="3"/>
      <c r="T454" s="3"/>
      <c r="U454" s="4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2"/>
      <c r="S455" s="3"/>
      <c r="T455" s="3"/>
      <c r="U455" s="4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2"/>
      <c r="S456" s="3"/>
      <c r="T456" s="3"/>
      <c r="U456" s="4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2"/>
      <c r="S457" s="3"/>
      <c r="T457" s="3"/>
      <c r="U457" s="4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2"/>
      <c r="S458" s="3"/>
      <c r="T458" s="3"/>
      <c r="U458" s="4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2"/>
      <c r="S459" s="3"/>
      <c r="T459" s="3"/>
      <c r="U459" s="4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2"/>
      <c r="S460" s="3"/>
      <c r="T460" s="3"/>
      <c r="U460" s="4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2"/>
      <c r="S461" s="3"/>
      <c r="T461" s="3"/>
      <c r="U461" s="4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2"/>
      <c r="S462" s="3"/>
      <c r="T462" s="3"/>
      <c r="U462" s="4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2"/>
      <c r="S463" s="3"/>
      <c r="T463" s="3"/>
      <c r="U463" s="4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2"/>
      <c r="S464" s="3"/>
      <c r="T464" s="3"/>
      <c r="U464" s="4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2"/>
      <c r="S465" s="3"/>
      <c r="T465" s="3"/>
      <c r="U465" s="4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2"/>
      <c r="S466" s="3"/>
      <c r="T466" s="3"/>
      <c r="U466" s="4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2"/>
      <c r="S467" s="3"/>
      <c r="T467" s="3"/>
      <c r="U467" s="4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2"/>
      <c r="S468" s="3"/>
      <c r="T468" s="3"/>
      <c r="U468" s="4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2"/>
      <c r="S469" s="3"/>
      <c r="T469" s="3"/>
      <c r="U469" s="4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2"/>
      <c r="S470" s="3"/>
      <c r="T470" s="3"/>
      <c r="U470" s="4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2"/>
      <c r="S471" s="3"/>
      <c r="T471" s="3"/>
      <c r="U471" s="4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2"/>
      <c r="S472" s="3"/>
      <c r="T472" s="3"/>
      <c r="U472" s="4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2"/>
      <c r="S473" s="3"/>
      <c r="T473" s="3"/>
      <c r="U473" s="4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2"/>
      <c r="S474" s="3"/>
      <c r="T474" s="3"/>
      <c r="U474" s="4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2"/>
      <c r="S475" s="3"/>
      <c r="T475" s="3"/>
      <c r="U475" s="4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2"/>
      <c r="S476" s="3"/>
      <c r="T476" s="3"/>
      <c r="U476" s="4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2"/>
      <c r="S477" s="3"/>
      <c r="T477" s="3"/>
      <c r="U477" s="4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2"/>
      <c r="S478" s="3"/>
      <c r="T478" s="3"/>
      <c r="U478" s="4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2"/>
      <c r="S479" s="3"/>
      <c r="T479" s="3"/>
      <c r="U479" s="4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2"/>
      <c r="S480" s="3"/>
      <c r="T480" s="3"/>
      <c r="U480" s="4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2"/>
      <c r="S481" s="3"/>
      <c r="T481" s="3"/>
      <c r="U481" s="4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2"/>
      <c r="S482" s="3"/>
      <c r="T482" s="3"/>
      <c r="U482" s="4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2"/>
      <c r="S483" s="3"/>
      <c r="T483" s="3"/>
      <c r="U483" s="4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2"/>
      <c r="S484" s="3"/>
      <c r="T484" s="3"/>
      <c r="U484" s="4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2"/>
      <c r="S485" s="3"/>
      <c r="T485" s="3"/>
      <c r="U485" s="4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2"/>
      <c r="S486" s="3"/>
      <c r="T486" s="3"/>
      <c r="U486" s="4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2"/>
      <c r="S487" s="3"/>
      <c r="T487" s="3"/>
      <c r="U487" s="4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2"/>
      <c r="S488" s="3"/>
      <c r="T488" s="3"/>
      <c r="U488" s="4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2"/>
      <c r="S489" s="3"/>
      <c r="T489" s="3"/>
      <c r="U489" s="4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2"/>
      <c r="S490" s="3"/>
      <c r="T490" s="3"/>
      <c r="U490" s="4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2"/>
      <c r="S491" s="3"/>
      <c r="T491" s="3"/>
      <c r="U491" s="4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2"/>
      <c r="S492" s="3"/>
      <c r="T492" s="3"/>
      <c r="U492" s="4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2"/>
      <c r="S493" s="3"/>
      <c r="T493" s="3"/>
      <c r="U493" s="4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2"/>
      <c r="S494" s="3"/>
      <c r="T494" s="3"/>
      <c r="U494" s="4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2"/>
      <c r="S495" s="3"/>
      <c r="T495" s="3"/>
      <c r="U495" s="4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2"/>
      <c r="S496" s="3"/>
      <c r="T496" s="3"/>
      <c r="U496" s="4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2"/>
      <c r="S497" s="3"/>
      <c r="T497" s="3"/>
      <c r="U497" s="4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2"/>
      <c r="S498" s="3"/>
      <c r="T498" s="3"/>
      <c r="U498" s="4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2"/>
      <c r="S499" s="3"/>
      <c r="T499" s="3"/>
      <c r="U499" s="4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2"/>
      <c r="S500" s="3"/>
      <c r="T500" s="3"/>
      <c r="U500" s="4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2"/>
      <c r="S501" s="3"/>
      <c r="T501" s="3"/>
      <c r="U501" s="4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2"/>
      <c r="S502" s="3"/>
      <c r="T502" s="3"/>
      <c r="U502" s="4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2"/>
      <c r="S503" s="3"/>
      <c r="T503" s="3"/>
      <c r="U503" s="4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2"/>
      <c r="S504" s="3"/>
      <c r="T504" s="3"/>
      <c r="U504" s="4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2"/>
      <c r="S505" s="3"/>
      <c r="T505" s="3"/>
      <c r="U505" s="4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2"/>
      <c r="S506" s="3"/>
      <c r="T506" s="3"/>
      <c r="U506" s="4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2"/>
      <c r="S507" s="3"/>
      <c r="T507" s="3"/>
      <c r="U507" s="4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2"/>
      <c r="S508" s="3"/>
      <c r="T508" s="3"/>
      <c r="U508" s="4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2"/>
      <c r="S509" s="3"/>
      <c r="T509" s="3"/>
      <c r="U509" s="4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2"/>
      <c r="S510" s="3"/>
      <c r="T510" s="3"/>
      <c r="U510" s="4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2"/>
      <c r="S511" s="3"/>
      <c r="T511" s="3"/>
      <c r="U511" s="4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2"/>
      <c r="S512" s="3"/>
      <c r="T512" s="3"/>
      <c r="U512" s="4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2"/>
      <c r="S513" s="3"/>
      <c r="T513" s="3"/>
      <c r="U513" s="4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2"/>
      <c r="S514" s="3"/>
      <c r="T514" s="3"/>
      <c r="U514" s="4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2"/>
      <c r="S515" s="3"/>
      <c r="T515" s="3"/>
      <c r="U515" s="4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2"/>
      <c r="S516" s="3"/>
      <c r="T516" s="3"/>
      <c r="U516" s="4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2"/>
      <c r="S517" s="3"/>
      <c r="T517" s="3"/>
      <c r="U517" s="4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2"/>
      <c r="S518" s="3"/>
      <c r="T518" s="3"/>
      <c r="U518" s="4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2"/>
      <c r="S519" s="3"/>
      <c r="T519" s="3"/>
      <c r="U519" s="4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2"/>
      <c r="S520" s="3"/>
      <c r="T520" s="3"/>
      <c r="U520" s="4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2"/>
      <c r="S521" s="3"/>
      <c r="T521" s="3"/>
      <c r="U521" s="4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2"/>
      <c r="S522" s="3"/>
      <c r="T522" s="3"/>
      <c r="U522" s="4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2"/>
      <c r="S523" s="3"/>
      <c r="T523" s="3"/>
      <c r="U523" s="4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2"/>
      <c r="S524" s="3"/>
      <c r="T524" s="3"/>
      <c r="U524" s="4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2"/>
      <c r="S525" s="3"/>
      <c r="T525" s="3"/>
      <c r="U525" s="4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2"/>
      <c r="S526" s="3"/>
      <c r="T526" s="3"/>
      <c r="U526" s="4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2"/>
      <c r="S527" s="3"/>
      <c r="T527" s="3"/>
      <c r="U527" s="4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2"/>
      <c r="S528" s="3"/>
      <c r="T528" s="3"/>
      <c r="U528" s="4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2"/>
      <c r="S529" s="3"/>
      <c r="T529" s="3"/>
      <c r="U529" s="4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2"/>
      <c r="S530" s="3"/>
      <c r="T530" s="3"/>
      <c r="U530" s="4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2"/>
      <c r="S531" s="3"/>
      <c r="T531" s="3"/>
      <c r="U531" s="4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2"/>
      <c r="S532" s="3"/>
      <c r="T532" s="3"/>
      <c r="U532" s="4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2"/>
      <c r="S533" s="3"/>
      <c r="T533" s="3"/>
      <c r="U533" s="4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2"/>
      <c r="S534" s="3"/>
      <c r="T534" s="3"/>
      <c r="U534" s="4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2"/>
      <c r="S535" s="3"/>
      <c r="T535" s="3"/>
      <c r="U535" s="4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2"/>
      <c r="S536" s="3"/>
      <c r="T536" s="3"/>
      <c r="U536" s="4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2"/>
      <c r="S537" s="3"/>
      <c r="T537" s="3"/>
      <c r="U537" s="4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2"/>
      <c r="S538" s="3"/>
      <c r="T538" s="3"/>
      <c r="U538" s="4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2"/>
      <c r="S539" s="3"/>
      <c r="T539" s="3"/>
      <c r="U539" s="4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2"/>
      <c r="S540" s="3"/>
      <c r="T540" s="3"/>
      <c r="U540" s="4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2"/>
      <c r="S541" s="3"/>
      <c r="T541" s="3"/>
      <c r="U541" s="4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2"/>
      <c r="S542" s="3"/>
      <c r="T542" s="3"/>
      <c r="U542" s="4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2"/>
      <c r="S543" s="3"/>
      <c r="T543" s="3"/>
      <c r="U543" s="4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2"/>
      <c r="S544" s="3"/>
      <c r="T544" s="3"/>
      <c r="U544" s="4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2"/>
      <c r="S545" s="3"/>
      <c r="T545" s="3"/>
      <c r="U545" s="4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2"/>
      <c r="S546" s="3"/>
      <c r="T546" s="3"/>
      <c r="U546" s="4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2"/>
      <c r="S547" s="3"/>
      <c r="T547" s="3"/>
      <c r="U547" s="4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2"/>
      <c r="S548" s="3"/>
      <c r="T548" s="3"/>
      <c r="U548" s="4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2"/>
      <c r="S549" s="3"/>
      <c r="T549" s="3"/>
      <c r="U549" s="4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2"/>
      <c r="S550" s="3"/>
      <c r="T550" s="3"/>
      <c r="U550" s="4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2"/>
      <c r="S551" s="3"/>
      <c r="T551" s="3"/>
      <c r="U551" s="4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2"/>
      <c r="S552" s="3"/>
      <c r="T552" s="3"/>
      <c r="U552" s="4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2"/>
      <c r="S553" s="3"/>
      <c r="T553" s="3"/>
      <c r="U553" s="4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2"/>
      <c r="S554" s="3"/>
      <c r="T554" s="3"/>
      <c r="U554" s="4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2"/>
      <c r="S555" s="3"/>
      <c r="T555" s="3"/>
      <c r="U555" s="4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2"/>
      <c r="S556" s="3"/>
      <c r="T556" s="3"/>
      <c r="U556" s="4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2"/>
      <c r="S557" s="3"/>
      <c r="T557" s="3"/>
      <c r="U557" s="4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2"/>
      <c r="S558" s="3"/>
      <c r="T558" s="3"/>
      <c r="U558" s="4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2"/>
      <c r="S559" s="3"/>
      <c r="T559" s="3"/>
      <c r="U559" s="4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2"/>
      <c r="S560" s="3"/>
      <c r="T560" s="3"/>
      <c r="U560" s="4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2"/>
      <c r="S561" s="3"/>
      <c r="T561" s="3"/>
      <c r="U561" s="4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2"/>
      <c r="S562" s="3"/>
      <c r="T562" s="3"/>
      <c r="U562" s="4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2"/>
      <c r="S563" s="3"/>
      <c r="T563" s="3"/>
      <c r="U563" s="4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2"/>
      <c r="S564" s="3"/>
      <c r="T564" s="3"/>
      <c r="U564" s="4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2"/>
      <c r="S565" s="3"/>
      <c r="T565" s="3"/>
      <c r="U565" s="4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2"/>
      <c r="S566" s="3"/>
      <c r="T566" s="3"/>
      <c r="U566" s="4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2"/>
      <c r="S567" s="3"/>
      <c r="T567" s="3"/>
      <c r="U567" s="4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2"/>
      <c r="S568" s="3"/>
      <c r="T568" s="3"/>
      <c r="U568" s="4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2"/>
      <c r="S569" s="3"/>
      <c r="T569" s="3"/>
      <c r="U569" s="4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2"/>
      <c r="S570" s="3"/>
      <c r="T570" s="3"/>
      <c r="U570" s="4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2"/>
      <c r="S571" s="3"/>
      <c r="T571" s="3"/>
      <c r="U571" s="4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2"/>
      <c r="S572" s="3"/>
      <c r="T572" s="3"/>
      <c r="U572" s="4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2"/>
      <c r="S573" s="3"/>
      <c r="T573" s="3"/>
      <c r="U573" s="4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2"/>
      <c r="S574" s="3"/>
      <c r="T574" s="3"/>
      <c r="U574" s="4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2"/>
      <c r="S575" s="3"/>
      <c r="T575" s="3"/>
      <c r="U575" s="4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2"/>
      <c r="S576" s="3"/>
      <c r="T576" s="3"/>
      <c r="U576" s="4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2"/>
      <c r="S577" s="3"/>
      <c r="T577" s="3"/>
      <c r="U577" s="4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2"/>
      <c r="S578" s="3"/>
      <c r="T578" s="3"/>
      <c r="U578" s="4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2"/>
      <c r="S579" s="3"/>
      <c r="T579" s="3"/>
      <c r="U579" s="4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2"/>
      <c r="S580" s="3"/>
      <c r="T580" s="3"/>
      <c r="U580" s="4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2"/>
      <c r="S581" s="3"/>
      <c r="T581" s="3"/>
      <c r="U581" s="4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2"/>
      <c r="S582" s="3"/>
      <c r="T582" s="3"/>
      <c r="U582" s="4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2"/>
      <c r="S583" s="3"/>
      <c r="T583" s="3"/>
      <c r="U583" s="4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2"/>
      <c r="S584" s="3"/>
      <c r="T584" s="3"/>
      <c r="U584" s="4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2"/>
      <c r="S585" s="3"/>
      <c r="T585" s="3"/>
      <c r="U585" s="4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2"/>
      <c r="S586" s="3"/>
      <c r="T586" s="3"/>
      <c r="U586" s="4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2"/>
      <c r="S587" s="3"/>
      <c r="T587" s="3"/>
      <c r="U587" s="4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2"/>
      <c r="S588" s="3"/>
      <c r="T588" s="3"/>
      <c r="U588" s="4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2"/>
      <c r="S589" s="3"/>
      <c r="T589" s="3"/>
      <c r="U589" s="4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2"/>
      <c r="S590" s="3"/>
      <c r="T590" s="3"/>
      <c r="U590" s="4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2"/>
      <c r="S591" s="3"/>
      <c r="T591" s="3"/>
      <c r="U591" s="4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2"/>
      <c r="S592" s="3"/>
      <c r="T592" s="3"/>
      <c r="U592" s="4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2"/>
      <c r="S593" s="3"/>
      <c r="T593" s="3"/>
      <c r="U593" s="4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2"/>
      <c r="S594" s="3"/>
      <c r="T594" s="3"/>
      <c r="U594" s="4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2"/>
      <c r="S595" s="3"/>
      <c r="T595" s="3"/>
      <c r="U595" s="4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2"/>
      <c r="S596" s="3"/>
      <c r="T596" s="3"/>
      <c r="U596" s="4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2"/>
      <c r="S597" s="3"/>
      <c r="T597" s="3"/>
      <c r="U597" s="4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2"/>
      <c r="S598" s="3"/>
      <c r="T598" s="3"/>
      <c r="U598" s="4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2"/>
      <c r="S599" s="3"/>
      <c r="T599" s="3"/>
      <c r="U599" s="4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2"/>
      <c r="S600" s="3"/>
      <c r="T600" s="3"/>
      <c r="U600" s="4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2"/>
      <c r="S601" s="3"/>
      <c r="T601" s="3"/>
      <c r="U601" s="4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2"/>
      <c r="S602" s="3"/>
      <c r="T602" s="3"/>
      <c r="U602" s="4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2"/>
      <c r="S603" s="3"/>
      <c r="T603" s="3"/>
      <c r="U603" s="4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2"/>
      <c r="S604" s="3"/>
      <c r="T604" s="3"/>
      <c r="U604" s="4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2"/>
      <c r="S605" s="3"/>
      <c r="T605" s="3"/>
      <c r="U605" s="4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2"/>
      <c r="S606" s="3"/>
      <c r="T606" s="3"/>
      <c r="U606" s="4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2"/>
      <c r="S607" s="3"/>
      <c r="T607" s="3"/>
      <c r="U607" s="4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2"/>
      <c r="S608" s="3"/>
      <c r="T608" s="3"/>
      <c r="U608" s="4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2"/>
      <c r="S609" s="3"/>
      <c r="T609" s="3"/>
      <c r="U609" s="4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2"/>
      <c r="S610" s="3"/>
      <c r="T610" s="3"/>
      <c r="U610" s="4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2"/>
      <c r="S611" s="3"/>
      <c r="T611" s="3"/>
      <c r="U611" s="4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2"/>
      <c r="S612" s="3"/>
      <c r="T612" s="3"/>
      <c r="U612" s="4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2"/>
      <c r="S613" s="3"/>
      <c r="T613" s="3"/>
      <c r="U613" s="4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2"/>
      <c r="S614" s="3"/>
      <c r="T614" s="3"/>
      <c r="U614" s="4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2"/>
      <c r="S615" s="3"/>
      <c r="T615" s="3"/>
      <c r="U615" s="4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2"/>
      <c r="S616" s="3"/>
      <c r="T616" s="3"/>
      <c r="U616" s="4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2"/>
      <c r="S617" s="3"/>
      <c r="T617" s="3"/>
      <c r="U617" s="4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2"/>
      <c r="S618" s="3"/>
      <c r="T618" s="3"/>
      <c r="U618" s="4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2"/>
      <c r="S619" s="3"/>
      <c r="T619" s="3"/>
      <c r="U619" s="4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2"/>
      <c r="S620" s="3"/>
      <c r="T620" s="3"/>
      <c r="U620" s="4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2"/>
      <c r="S621" s="3"/>
      <c r="T621" s="3"/>
      <c r="U621" s="4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2"/>
      <c r="S622" s="3"/>
      <c r="T622" s="3"/>
      <c r="U622" s="4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2"/>
      <c r="S623" s="3"/>
      <c r="T623" s="3"/>
      <c r="U623" s="4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2"/>
      <c r="S624" s="3"/>
      <c r="T624" s="3"/>
      <c r="U624" s="4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2"/>
      <c r="S625" s="3"/>
      <c r="T625" s="3"/>
      <c r="U625" s="4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2"/>
      <c r="S626" s="3"/>
      <c r="T626" s="3"/>
      <c r="U626" s="4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2"/>
      <c r="S627" s="3"/>
      <c r="T627" s="3"/>
      <c r="U627" s="4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2"/>
      <c r="S628" s="3"/>
      <c r="T628" s="3"/>
      <c r="U628" s="4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2"/>
      <c r="S629" s="3"/>
      <c r="T629" s="3"/>
      <c r="U629" s="4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2"/>
      <c r="S630" s="3"/>
      <c r="T630" s="3"/>
      <c r="U630" s="4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2"/>
      <c r="S631" s="3"/>
      <c r="T631" s="3"/>
      <c r="U631" s="4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2"/>
      <c r="S632" s="3"/>
      <c r="T632" s="3"/>
      <c r="U632" s="4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2"/>
      <c r="S633" s="3"/>
      <c r="T633" s="3"/>
      <c r="U633" s="4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2"/>
      <c r="S634" s="3"/>
      <c r="T634" s="3"/>
      <c r="U634" s="4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2"/>
      <c r="S635" s="3"/>
      <c r="T635" s="3"/>
      <c r="U635" s="4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2"/>
      <c r="S636" s="3"/>
      <c r="T636" s="3"/>
      <c r="U636" s="4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2"/>
      <c r="S637" s="3"/>
      <c r="T637" s="3"/>
      <c r="U637" s="4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2"/>
      <c r="S638" s="3"/>
      <c r="T638" s="3"/>
      <c r="U638" s="4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2"/>
      <c r="S639" s="3"/>
      <c r="T639" s="3"/>
      <c r="U639" s="4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2"/>
      <c r="S640" s="3"/>
      <c r="T640" s="3"/>
      <c r="U640" s="4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2"/>
      <c r="S641" s="3"/>
      <c r="T641" s="3"/>
      <c r="U641" s="4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2"/>
      <c r="S642" s="3"/>
      <c r="T642" s="3"/>
      <c r="U642" s="4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2"/>
      <c r="S643" s="3"/>
      <c r="T643" s="3"/>
      <c r="U643" s="4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2"/>
      <c r="S644" s="3"/>
      <c r="T644" s="3"/>
      <c r="U644" s="4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2"/>
      <c r="S645" s="3"/>
      <c r="T645" s="3"/>
      <c r="U645" s="4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2"/>
      <c r="S646" s="3"/>
      <c r="T646" s="3"/>
      <c r="U646" s="4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2"/>
      <c r="S647" s="3"/>
      <c r="T647" s="3"/>
      <c r="U647" s="4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2"/>
      <c r="S648" s="3"/>
      <c r="T648" s="3"/>
      <c r="U648" s="4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2"/>
      <c r="S649" s="3"/>
      <c r="T649" s="3"/>
      <c r="U649" s="4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2"/>
      <c r="S650" s="3"/>
      <c r="T650" s="3"/>
      <c r="U650" s="4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2"/>
      <c r="S651" s="3"/>
      <c r="T651" s="3"/>
      <c r="U651" s="4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2"/>
      <c r="S652" s="3"/>
      <c r="T652" s="3"/>
      <c r="U652" s="4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2"/>
      <c r="S653" s="3"/>
      <c r="T653" s="3"/>
      <c r="U653" s="4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2"/>
      <c r="S654" s="3"/>
      <c r="T654" s="3"/>
      <c r="U654" s="4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2"/>
      <c r="S655" s="3"/>
      <c r="T655" s="3"/>
      <c r="U655" s="4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2"/>
      <c r="S656" s="3"/>
      <c r="T656" s="3"/>
      <c r="U656" s="4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2"/>
      <c r="S657" s="3"/>
      <c r="T657" s="3"/>
      <c r="U657" s="4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2"/>
      <c r="S658" s="3"/>
      <c r="T658" s="3"/>
      <c r="U658" s="4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2"/>
      <c r="S659" s="3"/>
      <c r="T659" s="3"/>
      <c r="U659" s="4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2"/>
      <c r="S660" s="3"/>
      <c r="T660" s="3"/>
      <c r="U660" s="4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2"/>
      <c r="S661" s="3"/>
      <c r="T661" s="3"/>
      <c r="U661" s="4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2"/>
      <c r="S662" s="3"/>
      <c r="T662" s="3"/>
      <c r="U662" s="4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2"/>
      <c r="S663" s="3"/>
      <c r="T663" s="3"/>
      <c r="U663" s="4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2"/>
      <c r="S664" s="3"/>
      <c r="T664" s="3"/>
      <c r="U664" s="4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2"/>
      <c r="S665" s="3"/>
      <c r="T665" s="3"/>
      <c r="U665" s="4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2"/>
      <c r="S666" s="3"/>
      <c r="T666" s="3"/>
      <c r="U666" s="4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2"/>
      <c r="S667" s="3"/>
      <c r="T667" s="3"/>
      <c r="U667" s="4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2"/>
      <c r="S668" s="3"/>
      <c r="T668" s="3"/>
      <c r="U668" s="4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2"/>
      <c r="S669" s="3"/>
      <c r="T669" s="3"/>
      <c r="U669" s="4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2"/>
      <c r="S670" s="3"/>
      <c r="T670" s="3"/>
      <c r="U670" s="4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2"/>
      <c r="S671" s="3"/>
      <c r="T671" s="3"/>
      <c r="U671" s="4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2"/>
      <c r="S672" s="3"/>
      <c r="T672" s="3"/>
      <c r="U672" s="4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2"/>
      <c r="S673" s="3"/>
      <c r="T673" s="3"/>
      <c r="U673" s="4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2"/>
      <c r="S674" s="3"/>
      <c r="T674" s="3"/>
      <c r="U674" s="4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2"/>
      <c r="S675" s="3"/>
      <c r="T675" s="3"/>
      <c r="U675" s="4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2"/>
      <c r="S676" s="3"/>
      <c r="T676" s="3"/>
      <c r="U676" s="4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2"/>
      <c r="S677" s="3"/>
      <c r="T677" s="3"/>
      <c r="U677" s="4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2"/>
      <c r="S678" s="3"/>
      <c r="T678" s="3"/>
      <c r="U678" s="4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2"/>
      <c r="S679" s="3"/>
      <c r="T679" s="3"/>
      <c r="U679" s="4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2"/>
      <c r="S680" s="3"/>
      <c r="T680" s="3"/>
      <c r="U680" s="4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2"/>
      <c r="S681" s="3"/>
      <c r="T681" s="3"/>
      <c r="U681" s="4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2"/>
      <c r="S682" s="3"/>
      <c r="T682" s="3"/>
      <c r="U682" s="4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2"/>
      <c r="S683" s="3"/>
      <c r="T683" s="3"/>
      <c r="U683" s="4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2"/>
      <c r="S684" s="3"/>
      <c r="T684" s="3"/>
      <c r="U684" s="4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2"/>
      <c r="S685" s="3"/>
      <c r="T685" s="3"/>
      <c r="U685" s="4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2"/>
      <c r="S686" s="3"/>
      <c r="T686" s="3"/>
      <c r="U686" s="4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2"/>
      <c r="S687" s="3"/>
      <c r="T687" s="3"/>
      <c r="U687" s="4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2"/>
      <c r="S688" s="3"/>
      <c r="T688" s="3"/>
      <c r="U688" s="4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2"/>
      <c r="S689" s="3"/>
      <c r="T689" s="3"/>
      <c r="U689" s="4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2"/>
      <c r="S690" s="3"/>
      <c r="T690" s="3"/>
      <c r="U690" s="4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2"/>
      <c r="S691" s="3"/>
      <c r="T691" s="3"/>
      <c r="U691" s="4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2"/>
      <c r="S692" s="3"/>
      <c r="T692" s="3"/>
      <c r="U692" s="4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2"/>
      <c r="S693" s="3"/>
      <c r="T693" s="3"/>
      <c r="U693" s="4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2"/>
      <c r="S694" s="3"/>
      <c r="T694" s="3"/>
      <c r="U694" s="4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2"/>
      <c r="S695" s="3"/>
      <c r="T695" s="3"/>
      <c r="U695" s="4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2"/>
      <c r="S696" s="3"/>
      <c r="T696" s="3"/>
      <c r="U696" s="4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2"/>
      <c r="S697" s="3"/>
      <c r="T697" s="3"/>
      <c r="U697" s="4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2"/>
      <c r="S698" s="3"/>
      <c r="T698" s="3"/>
      <c r="U698" s="4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2"/>
      <c r="S699" s="3"/>
      <c r="T699" s="3"/>
      <c r="U699" s="4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2"/>
      <c r="S700" s="3"/>
      <c r="T700" s="3"/>
      <c r="U700" s="4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2"/>
      <c r="S701" s="3"/>
      <c r="T701" s="3"/>
      <c r="U701" s="4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2"/>
      <c r="S702" s="3"/>
      <c r="T702" s="3"/>
      <c r="U702" s="4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2"/>
      <c r="S703" s="3"/>
      <c r="T703" s="3"/>
      <c r="U703" s="4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2"/>
      <c r="S704" s="3"/>
      <c r="T704" s="3"/>
      <c r="U704" s="4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2"/>
      <c r="S705" s="3"/>
      <c r="T705" s="3"/>
      <c r="U705" s="4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2"/>
      <c r="S706" s="3"/>
      <c r="T706" s="3"/>
      <c r="U706" s="4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2"/>
      <c r="S707" s="3"/>
      <c r="T707" s="3"/>
      <c r="U707" s="4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2"/>
      <c r="S708" s="3"/>
      <c r="T708" s="3"/>
      <c r="U708" s="4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2"/>
      <c r="S709" s="3"/>
      <c r="T709" s="3"/>
      <c r="U709" s="4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2"/>
      <c r="S710" s="3"/>
      <c r="T710" s="3"/>
      <c r="U710" s="4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2"/>
      <c r="S711" s="3"/>
      <c r="T711" s="3"/>
      <c r="U711" s="4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2"/>
      <c r="S712" s="3"/>
      <c r="T712" s="3"/>
      <c r="U712" s="4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2"/>
      <c r="S713" s="3"/>
      <c r="T713" s="3"/>
      <c r="U713" s="4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2"/>
      <c r="S714" s="3"/>
      <c r="T714" s="3"/>
      <c r="U714" s="4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2"/>
      <c r="S715" s="3"/>
      <c r="T715" s="3"/>
      <c r="U715" s="4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2"/>
      <c r="S716" s="3"/>
      <c r="T716" s="3"/>
      <c r="U716" s="4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2"/>
      <c r="S717" s="3"/>
      <c r="T717" s="3"/>
      <c r="U717" s="4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2"/>
      <c r="S718" s="3"/>
      <c r="T718" s="3"/>
      <c r="U718" s="4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2"/>
      <c r="S719" s="3"/>
      <c r="T719" s="3"/>
      <c r="U719" s="4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2"/>
      <c r="S720" s="3"/>
      <c r="T720" s="3"/>
      <c r="U720" s="4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2"/>
      <c r="S721" s="3"/>
      <c r="T721" s="3"/>
      <c r="U721" s="4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2"/>
      <c r="S722" s="3"/>
      <c r="T722" s="3"/>
      <c r="U722" s="4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2"/>
      <c r="S723" s="3"/>
      <c r="T723" s="3"/>
      <c r="U723" s="4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2"/>
      <c r="S724" s="3"/>
      <c r="T724" s="3"/>
      <c r="U724" s="4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2"/>
      <c r="S725" s="3"/>
      <c r="T725" s="3"/>
      <c r="U725" s="4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2"/>
      <c r="S726" s="3"/>
      <c r="T726" s="3"/>
      <c r="U726" s="4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2"/>
      <c r="S727" s="3"/>
      <c r="T727" s="3"/>
      <c r="U727" s="4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2"/>
      <c r="S728" s="3"/>
      <c r="T728" s="3"/>
      <c r="U728" s="4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2"/>
      <c r="S729" s="3"/>
      <c r="T729" s="3"/>
      <c r="U729" s="4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2"/>
      <c r="S730" s="3"/>
      <c r="T730" s="3"/>
      <c r="U730" s="4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2"/>
      <c r="S731" s="3"/>
      <c r="T731" s="3"/>
      <c r="U731" s="4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2"/>
      <c r="S732" s="3"/>
      <c r="T732" s="3"/>
      <c r="U732" s="4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2"/>
      <c r="S733" s="3"/>
      <c r="T733" s="3"/>
      <c r="U733" s="4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2"/>
      <c r="S734" s="3"/>
      <c r="T734" s="3"/>
      <c r="U734" s="4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2"/>
      <c r="S735" s="3"/>
      <c r="T735" s="3"/>
      <c r="U735" s="4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2"/>
      <c r="S736" s="3"/>
      <c r="T736" s="3"/>
      <c r="U736" s="4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2"/>
      <c r="S737" s="3"/>
      <c r="T737" s="3"/>
      <c r="U737" s="4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2"/>
      <c r="S738" s="3"/>
      <c r="T738" s="3"/>
      <c r="U738" s="4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2"/>
      <c r="S739" s="3"/>
      <c r="T739" s="3"/>
      <c r="U739" s="4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2"/>
      <c r="S740" s="3"/>
      <c r="T740" s="3"/>
      <c r="U740" s="4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2"/>
      <c r="S741" s="3"/>
      <c r="T741" s="3"/>
      <c r="U741" s="4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2"/>
      <c r="S742" s="3"/>
      <c r="T742" s="3"/>
      <c r="U742" s="4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2"/>
      <c r="S743" s="3"/>
      <c r="T743" s="3"/>
      <c r="U743" s="4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2"/>
      <c r="S744" s="3"/>
      <c r="T744" s="3"/>
      <c r="U744" s="4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2"/>
      <c r="S745" s="3"/>
      <c r="T745" s="3"/>
      <c r="U745" s="4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2"/>
      <c r="S746" s="3"/>
      <c r="T746" s="3"/>
      <c r="U746" s="4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2"/>
      <c r="S747" s="3"/>
      <c r="T747" s="3"/>
      <c r="U747" s="4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2"/>
      <c r="S748" s="3"/>
      <c r="T748" s="3"/>
      <c r="U748" s="4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2"/>
      <c r="S749" s="3"/>
      <c r="T749" s="3"/>
      <c r="U749" s="4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2"/>
      <c r="S750" s="3"/>
      <c r="T750" s="3"/>
      <c r="U750" s="4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2"/>
      <c r="S751" s="3"/>
      <c r="T751" s="3"/>
      <c r="U751" s="4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2"/>
      <c r="S752" s="3"/>
      <c r="T752" s="3"/>
      <c r="U752" s="4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2"/>
      <c r="S753" s="3"/>
      <c r="T753" s="3"/>
      <c r="U753" s="4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2"/>
      <c r="S754" s="3"/>
      <c r="T754" s="3"/>
      <c r="U754" s="4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2"/>
      <c r="S755" s="3"/>
      <c r="T755" s="3"/>
      <c r="U755" s="4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2"/>
      <c r="S756" s="3"/>
      <c r="T756" s="3"/>
      <c r="U756" s="4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2"/>
      <c r="S757" s="3"/>
      <c r="T757" s="3"/>
      <c r="U757" s="4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2"/>
      <c r="S758" s="3"/>
      <c r="T758" s="3"/>
      <c r="U758" s="4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2"/>
      <c r="S759" s="3"/>
      <c r="T759" s="3"/>
      <c r="U759" s="4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2"/>
      <c r="S760" s="3"/>
      <c r="T760" s="3"/>
      <c r="U760" s="4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2"/>
      <c r="S761" s="3"/>
      <c r="T761" s="3"/>
      <c r="U761" s="4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2"/>
      <c r="S762" s="3"/>
      <c r="T762" s="3"/>
      <c r="U762" s="4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2"/>
      <c r="S763" s="3"/>
      <c r="T763" s="3"/>
      <c r="U763" s="4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2"/>
      <c r="S764" s="3"/>
      <c r="T764" s="3"/>
      <c r="U764" s="4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2"/>
      <c r="S765" s="3"/>
      <c r="T765" s="3"/>
      <c r="U765" s="4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2"/>
      <c r="S766" s="3"/>
      <c r="T766" s="3"/>
      <c r="U766" s="4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2"/>
      <c r="S767" s="3"/>
      <c r="T767" s="3"/>
      <c r="U767" s="4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2"/>
      <c r="S768" s="3"/>
      <c r="T768" s="3"/>
      <c r="U768" s="4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2"/>
      <c r="S769" s="3"/>
      <c r="T769" s="3"/>
      <c r="U769" s="4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2"/>
      <c r="S770" s="3"/>
      <c r="T770" s="3"/>
      <c r="U770" s="4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2"/>
      <c r="S771" s="3"/>
      <c r="T771" s="3"/>
      <c r="U771" s="4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2"/>
      <c r="S772" s="3"/>
      <c r="T772" s="3"/>
      <c r="U772" s="4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2"/>
      <c r="S773" s="3"/>
      <c r="T773" s="3"/>
      <c r="U773" s="4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2"/>
      <c r="S774" s="3"/>
      <c r="T774" s="3"/>
      <c r="U774" s="4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2"/>
      <c r="S775" s="3"/>
      <c r="T775" s="3"/>
      <c r="U775" s="4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2"/>
      <c r="S776" s="3"/>
      <c r="T776" s="3"/>
      <c r="U776" s="4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2"/>
      <c r="S777" s="3"/>
      <c r="T777" s="3"/>
      <c r="U777" s="4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2"/>
      <c r="S778" s="3"/>
      <c r="T778" s="3"/>
      <c r="U778" s="4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2"/>
      <c r="S779" s="3"/>
      <c r="T779" s="3"/>
      <c r="U779" s="4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2"/>
      <c r="S780" s="3"/>
      <c r="T780" s="3"/>
      <c r="U780" s="4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2"/>
      <c r="S781" s="3"/>
      <c r="T781" s="3"/>
      <c r="U781" s="4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2"/>
      <c r="S782" s="3"/>
      <c r="T782" s="3"/>
      <c r="U782" s="4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2"/>
      <c r="S783" s="3"/>
      <c r="T783" s="3"/>
      <c r="U783" s="4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2"/>
      <c r="S784" s="3"/>
      <c r="T784" s="3"/>
      <c r="U784" s="4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2"/>
      <c r="S785" s="3"/>
      <c r="T785" s="3"/>
      <c r="U785" s="4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2"/>
      <c r="S786" s="3"/>
      <c r="T786" s="3"/>
      <c r="U786" s="4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2"/>
      <c r="S787" s="3"/>
      <c r="T787" s="3"/>
      <c r="U787" s="4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2"/>
      <c r="S788" s="3"/>
      <c r="T788" s="3"/>
      <c r="U788" s="4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2"/>
      <c r="S789" s="3"/>
      <c r="T789" s="3"/>
      <c r="U789" s="4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2"/>
      <c r="S790" s="3"/>
      <c r="T790" s="3"/>
      <c r="U790" s="4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2"/>
      <c r="S791" s="3"/>
      <c r="T791" s="3"/>
      <c r="U791" s="4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2"/>
      <c r="S792" s="3"/>
      <c r="T792" s="3"/>
      <c r="U792" s="4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2"/>
      <c r="S793" s="3"/>
      <c r="T793" s="3"/>
      <c r="U793" s="4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2"/>
      <c r="S794" s="3"/>
      <c r="T794" s="3"/>
      <c r="U794" s="4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2"/>
      <c r="S795" s="3"/>
      <c r="T795" s="3"/>
      <c r="U795" s="4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2"/>
      <c r="S796" s="3"/>
      <c r="T796" s="3"/>
      <c r="U796" s="4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2"/>
      <c r="S797" s="3"/>
      <c r="T797" s="3"/>
      <c r="U797" s="4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2"/>
      <c r="S798" s="3"/>
      <c r="T798" s="3"/>
      <c r="U798" s="4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2"/>
      <c r="S799" s="3"/>
      <c r="T799" s="3"/>
      <c r="U799" s="4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2"/>
      <c r="S800" s="3"/>
      <c r="T800" s="3"/>
      <c r="U800" s="4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2"/>
      <c r="S801" s="3"/>
      <c r="T801" s="3"/>
      <c r="U801" s="4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2"/>
      <c r="S802" s="3"/>
      <c r="T802" s="3"/>
      <c r="U802" s="4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2"/>
      <c r="S803" s="3"/>
      <c r="T803" s="3"/>
      <c r="U803" s="4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2"/>
      <c r="S804" s="3"/>
      <c r="T804" s="3"/>
      <c r="U804" s="4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2"/>
      <c r="S805" s="3"/>
      <c r="T805" s="3"/>
      <c r="U805" s="4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2"/>
      <c r="S806" s="3"/>
      <c r="T806" s="3"/>
      <c r="U806" s="4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2"/>
      <c r="S807" s="3"/>
      <c r="T807" s="3"/>
      <c r="U807" s="4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2"/>
      <c r="S808" s="3"/>
      <c r="T808" s="3"/>
      <c r="U808" s="4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2"/>
      <c r="S809" s="3"/>
      <c r="T809" s="3"/>
      <c r="U809" s="4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2"/>
      <c r="S810" s="3"/>
      <c r="T810" s="3"/>
      <c r="U810" s="4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2"/>
      <c r="S811" s="3"/>
      <c r="T811" s="3"/>
      <c r="U811" s="4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2"/>
      <c r="S812" s="3"/>
      <c r="T812" s="3"/>
      <c r="U812" s="4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2"/>
      <c r="S813" s="3"/>
      <c r="T813" s="3"/>
      <c r="U813" s="4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2"/>
      <c r="S814" s="3"/>
      <c r="T814" s="3"/>
      <c r="U814" s="4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2"/>
      <c r="S815" s="3"/>
      <c r="T815" s="3"/>
      <c r="U815" s="4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2"/>
      <c r="S816" s="3"/>
      <c r="T816" s="3"/>
      <c r="U816" s="4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2"/>
      <c r="S817" s="3"/>
      <c r="T817" s="3"/>
      <c r="U817" s="4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2"/>
      <c r="S818" s="3"/>
      <c r="T818" s="3"/>
      <c r="U818" s="4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2"/>
      <c r="S819" s="3"/>
      <c r="T819" s="3"/>
      <c r="U819" s="4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2"/>
      <c r="S820" s="3"/>
      <c r="T820" s="3"/>
      <c r="U820" s="4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2"/>
      <c r="S821" s="3"/>
      <c r="T821" s="3"/>
      <c r="U821" s="4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2"/>
      <c r="S822" s="3"/>
      <c r="T822" s="3"/>
      <c r="U822" s="4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2"/>
      <c r="S823" s="3"/>
      <c r="T823" s="3"/>
      <c r="U823" s="4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2"/>
      <c r="S824" s="3"/>
      <c r="T824" s="3"/>
      <c r="U824" s="4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2"/>
      <c r="S825" s="3"/>
      <c r="T825" s="3"/>
      <c r="U825" s="4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2"/>
      <c r="S826" s="3"/>
      <c r="T826" s="3"/>
      <c r="U826" s="4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2"/>
      <c r="S827" s="3"/>
      <c r="T827" s="3"/>
      <c r="U827" s="4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2"/>
      <c r="S828" s="3"/>
      <c r="T828" s="3"/>
      <c r="U828" s="4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2"/>
      <c r="S829" s="3"/>
      <c r="T829" s="3"/>
      <c r="U829" s="4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2"/>
      <c r="S830" s="3"/>
      <c r="T830" s="3"/>
      <c r="U830" s="4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2"/>
      <c r="S831" s="3"/>
      <c r="T831" s="3"/>
      <c r="U831" s="4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2"/>
      <c r="S832" s="3"/>
      <c r="T832" s="3"/>
      <c r="U832" s="4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2"/>
      <c r="S833" s="3"/>
      <c r="T833" s="3"/>
      <c r="U833" s="4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2"/>
      <c r="S834" s="3"/>
      <c r="T834" s="3"/>
      <c r="U834" s="4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2"/>
      <c r="S835" s="3"/>
      <c r="T835" s="3"/>
      <c r="U835" s="4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2"/>
      <c r="S836" s="3"/>
      <c r="T836" s="3"/>
      <c r="U836" s="4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2"/>
      <c r="S837" s="3"/>
      <c r="T837" s="3"/>
      <c r="U837" s="4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2"/>
      <c r="S838" s="3"/>
      <c r="T838" s="3"/>
      <c r="U838" s="4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2"/>
      <c r="S839" s="3"/>
      <c r="T839" s="3"/>
      <c r="U839" s="4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2"/>
      <c r="S840" s="3"/>
      <c r="T840" s="3"/>
      <c r="U840" s="4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2"/>
      <c r="S841" s="3"/>
      <c r="T841" s="3"/>
      <c r="U841" s="4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2"/>
      <c r="S842" s="3"/>
      <c r="T842" s="3"/>
      <c r="U842" s="4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2"/>
      <c r="S843" s="3"/>
      <c r="T843" s="3"/>
      <c r="U843" s="4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2"/>
      <c r="S844" s="3"/>
      <c r="T844" s="3"/>
      <c r="U844" s="4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2"/>
      <c r="S845" s="3"/>
      <c r="T845" s="3"/>
      <c r="U845" s="4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2"/>
      <c r="S846" s="3"/>
      <c r="T846" s="3"/>
      <c r="U846" s="4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2"/>
      <c r="S847" s="3"/>
      <c r="T847" s="3"/>
      <c r="U847" s="4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2"/>
      <c r="S848" s="3"/>
      <c r="T848" s="3"/>
      <c r="U848" s="4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2"/>
      <c r="S849" s="3"/>
      <c r="T849" s="3"/>
      <c r="U849" s="4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2"/>
      <c r="S850" s="3"/>
      <c r="T850" s="3"/>
      <c r="U850" s="4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2"/>
      <c r="S851" s="3"/>
      <c r="T851" s="3"/>
      <c r="U851" s="4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2"/>
      <c r="S852" s="3"/>
      <c r="T852" s="3"/>
      <c r="U852" s="4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2"/>
      <c r="S853" s="3"/>
      <c r="T853" s="3"/>
      <c r="U853" s="4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2"/>
      <c r="S854" s="3"/>
      <c r="T854" s="3"/>
      <c r="U854" s="4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2"/>
      <c r="S855" s="3"/>
      <c r="T855" s="3"/>
      <c r="U855" s="4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2"/>
      <c r="S856" s="3"/>
      <c r="T856" s="3"/>
      <c r="U856" s="4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2"/>
      <c r="S857" s="3"/>
      <c r="T857" s="3"/>
      <c r="U857" s="4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2"/>
      <c r="S858" s="3"/>
      <c r="T858" s="3"/>
      <c r="U858" s="4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2"/>
      <c r="S859" s="3"/>
      <c r="T859" s="3"/>
      <c r="U859" s="4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2"/>
      <c r="S860" s="3"/>
      <c r="T860" s="3"/>
      <c r="U860" s="4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2"/>
      <c r="S861" s="3"/>
      <c r="T861" s="3"/>
      <c r="U861" s="4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2"/>
      <c r="S862" s="3"/>
      <c r="T862" s="3"/>
      <c r="U862" s="4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2"/>
      <c r="S863" s="3"/>
      <c r="T863" s="3"/>
      <c r="U863" s="4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2"/>
      <c r="S864" s="3"/>
      <c r="T864" s="3"/>
      <c r="U864" s="4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2"/>
      <c r="S865" s="3"/>
      <c r="T865" s="3"/>
      <c r="U865" s="4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2"/>
      <c r="S866" s="3"/>
      <c r="T866" s="3"/>
      <c r="U866" s="4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2"/>
      <c r="S867" s="3"/>
      <c r="T867" s="3"/>
      <c r="U867" s="4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2"/>
      <c r="S868" s="3"/>
      <c r="T868" s="3"/>
      <c r="U868" s="4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2"/>
      <c r="S869" s="3"/>
      <c r="T869" s="3"/>
      <c r="U869" s="4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2"/>
      <c r="S870" s="3"/>
      <c r="T870" s="3"/>
      <c r="U870" s="4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2"/>
      <c r="S871" s="3"/>
      <c r="T871" s="3"/>
      <c r="U871" s="4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2"/>
      <c r="S872" s="3"/>
      <c r="T872" s="3"/>
      <c r="U872" s="4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2"/>
      <c r="S873" s="3"/>
      <c r="T873" s="3"/>
      <c r="U873" s="4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2"/>
      <c r="S874" s="3"/>
      <c r="T874" s="3"/>
      <c r="U874" s="4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2"/>
      <c r="S875" s="3"/>
      <c r="T875" s="3"/>
      <c r="U875" s="4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2"/>
      <c r="S876" s="3"/>
      <c r="T876" s="3"/>
      <c r="U876" s="4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2"/>
      <c r="S877" s="3"/>
      <c r="T877" s="3"/>
      <c r="U877" s="4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2"/>
      <c r="S878" s="3"/>
      <c r="T878" s="3"/>
      <c r="U878" s="4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2"/>
      <c r="S879" s="3"/>
      <c r="T879" s="3"/>
      <c r="U879" s="4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2"/>
      <c r="S880" s="3"/>
      <c r="T880" s="3"/>
      <c r="U880" s="4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2"/>
      <c r="S881" s="3"/>
      <c r="T881" s="3"/>
      <c r="U881" s="4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2"/>
      <c r="S882" s="3"/>
      <c r="T882" s="3"/>
      <c r="U882" s="4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2"/>
      <c r="S883" s="3"/>
      <c r="T883" s="3"/>
      <c r="U883" s="4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2"/>
      <c r="S884" s="3"/>
      <c r="T884" s="3"/>
      <c r="U884" s="4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2"/>
      <c r="S885" s="3"/>
      <c r="T885" s="3"/>
      <c r="U885" s="4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2"/>
      <c r="S886" s="3"/>
      <c r="T886" s="3"/>
      <c r="U886" s="4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2"/>
      <c r="S887" s="3"/>
      <c r="T887" s="3"/>
      <c r="U887" s="4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2"/>
      <c r="S888" s="3"/>
      <c r="T888" s="3"/>
      <c r="U888" s="4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2"/>
      <c r="S889" s="3"/>
      <c r="T889" s="3"/>
      <c r="U889" s="4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2"/>
      <c r="S890" s="3"/>
      <c r="T890" s="3"/>
      <c r="U890" s="4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2"/>
      <c r="S891" s="3"/>
      <c r="T891" s="3"/>
      <c r="U891" s="4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2"/>
      <c r="S892" s="3"/>
      <c r="T892" s="3"/>
      <c r="U892" s="4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2"/>
      <c r="S893" s="3"/>
      <c r="T893" s="3"/>
      <c r="U893" s="4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2"/>
      <c r="S894" s="3"/>
      <c r="T894" s="3"/>
      <c r="U894" s="4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2"/>
      <c r="S895" s="3"/>
      <c r="T895" s="3"/>
      <c r="U895" s="4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2"/>
      <c r="S896" s="3"/>
      <c r="T896" s="3"/>
      <c r="U896" s="4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2"/>
      <c r="S897" s="3"/>
      <c r="T897" s="3"/>
      <c r="U897" s="4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2"/>
      <c r="S898" s="3"/>
      <c r="T898" s="3"/>
      <c r="U898" s="4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2"/>
      <c r="S899" s="3"/>
      <c r="T899" s="3"/>
      <c r="U899" s="4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2"/>
      <c r="S900" s="3"/>
      <c r="T900" s="3"/>
      <c r="U900" s="4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2"/>
      <c r="S901" s="3"/>
      <c r="T901" s="3"/>
      <c r="U901" s="4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2"/>
      <c r="S902" s="3"/>
      <c r="T902" s="3"/>
      <c r="U902" s="4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2"/>
      <c r="S903" s="3"/>
      <c r="T903" s="3"/>
      <c r="U903" s="4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2"/>
      <c r="S904" s="3"/>
      <c r="T904" s="3"/>
      <c r="U904" s="4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2"/>
      <c r="S905" s="3"/>
      <c r="T905" s="3"/>
      <c r="U905" s="4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2"/>
      <c r="S906" s="3"/>
      <c r="T906" s="3"/>
      <c r="U906" s="4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2"/>
      <c r="S907" s="3"/>
      <c r="T907" s="3"/>
      <c r="U907" s="4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2"/>
      <c r="S908" s="3"/>
      <c r="T908" s="3"/>
      <c r="U908" s="4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2"/>
      <c r="S909" s="3"/>
      <c r="T909" s="3"/>
      <c r="U909" s="4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2"/>
      <c r="S910" s="3"/>
      <c r="T910" s="3"/>
      <c r="U910" s="4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2"/>
      <c r="S911" s="3"/>
      <c r="T911" s="3"/>
      <c r="U911" s="4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2"/>
      <c r="S912" s="3"/>
      <c r="T912" s="3"/>
      <c r="U912" s="4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2"/>
      <c r="S913" s="3"/>
      <c r="T913" s="3"/>
      <c r="U913" s="4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2"/>
      <c r="S914" s="3"/>
      <c r="T914" s="3"/>
      <c r="U914" s="4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2"/>
      <c r="S915" s="3"/>
      <c r="T915" s="3"/>
      <c r="U915" s="4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2"/>
      <c r="S916" s="3"/>
      <c r="T916" s="3"/>
      <c r="U916" s="4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2"/>
      <c r="S917" s="3"/>
      <c r="T917" s="3"/>
      <c r="U917" s="4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2"/>
      <c r="S918" s="3"/>
      <c r="T918" s="3"/>
      <c r="U918" s="4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2"/>
      <c r="S919" s="3"/>
      <c r="T919" s="3"/>
      <c r="U919" s="4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2"/>
      <c r="S920" s="3"/>
      <c r="T920" s="3"/>
      <c r="U920" s="4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2"/>
      <c r="S921" s="3"/>
      <c r="T921" s="3"/>
      <c r="U921" s="4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2"/>
      <c r="S922" s="3"/>
      <c r="T922" s="3"/>
      <c r="U922" s="4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2"/>
      <c r="S923" s="3"/>
      <c r="T923" s="3"/>
      <c r="U923" s="4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2"/>
      <c r="S924" s="3"/>
      <c r="T924" s="3"/>
      <c r="U924" s="4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2"/>
      <c r="S925" s="3"/>
      <c r="T925" s="3"/>
      <c r="U925" s="4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2"/>
      <c r="S926" s="3"/>
      <c r="T926" s="3"/>
      <c r="U926" s="4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2"/>
      <c r="S927" s="3"/>
      <c r="T927" s="3"/>
      <c r="U927" s="4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2"/>
      <c r="S928" s="3"/>
      <c r="T928" s="3"/>
      <c r="U928" s="4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2"/>
      <c r="S929" s="3"/>
      <c r="T929" s="3"/>
      <c r="U929" s="4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2"/>
      <c r="S930" s="3"/>
      <c r="T930" s="3"/>
      <c r="U930" s="4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2"/>
      <c r="S931" s="3"/>
      <c r="T931" s="3"/>
      <c r="U931" s="4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2"/>
      <c r="S932" s="3"/>
      <c r="T932" s="3"/>
      <c r="U932" s="4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2"/>
      <c r="S933" s="3"/>
      <c r="T933" s="3"/>
      <c r="U933" s="4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2"/>
      <c r="S934" s="3"/>
      <c r="T934" s="3"/>
      <c r="U934" s="4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2"/>
      <c r="S935" s="3"/>
      <c r="T935" s="3"/>
      <c r="U935" s="4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2"/>
      <c r="S936" s="3"/>
      <c r="T936" s="3"/>
      <c r="U936" s="4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2"/>
      <c r="S937" s="3"/>
      <c r="T937" s="3"/>
      <c r="U937" s="4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2"/>
      <c r="S938" s="3"/>
      <c r="T938" s="3"/>
      <c r="U938" s="4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2"/>
      <c r="S939" s="3"/>
      <c r="T939" s="3"/>
      <c r="U939" s="4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2"/>
      <c r="S940" s="3"/>
      <c r="T940" s="3"/>
      <c r="U940" s="4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2"/>
      <c r="S941" s="3"/>
      <c r="T941" s="3"/>
      <c r="U941" s="4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2"/>
      <c r="S942" s="3"/>
      <c r="T942" s="3"/>
      <c r="U942" s="4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2"/>
      <c r="S943" s="3"/>
      <c r="T943" s="3"/>
      <c r="U943" s="4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2"/>
      <c r="S944" s="3"/>
      <c r="T944" s="3"/>
      <c r="U944" s="4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2"/>
      <c r="S945" s="3"/>
      <c r="T945" s="3"/>
      <c r="U945" s="4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2"/>
      <c r="S946" s="3"/>
      <c r="T946" s="3"/>
      <c r="U946" s="4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2"/>
      <c r="S947" s="3"/>
      <c r="T947" s="3"/>
      <c r="U947" s="4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2"/>
      <c r="S948" s="3"/>
      <c r="T948" s="3"/>
      <c r="U948" s="4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2"/>
      <c r="S949" s="3"/>
      <c r="T949" s="3"/>
      <c r="U949" s="4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2"/>
      <c r="S950" s="3"/>
      <c r="T950" s="3"/>
      <c r="U950" s="4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2"/>
      <c r="S951" s="3"/>
      <c r="T951" s="3"/>
      <c r="U951" s="4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2"/>
      <c r="S952" s="3"/>
      <c r="T952" s="3"/>
      <c r="U952" s="4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2"/>
      <c r="S953" s="3"/>
      <c r="T953" s="3"/>
      <c r="U953" s="4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2"/>
      <c r="S954" s="3"/>
      <c r="T954" s="3"/>
      <c r="U954" s="4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2"/>
      <c r="S955" s="3"/>
      <c r="T955" s="3"/>
      <c r="U955" s="4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2"/>
      <c r="S956" s="3"/>
      <c r="T956" s="3"/>
      <c r="U956" s="4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2"/>
      <c r="S957" s="3"/>
      <c r="T957" s="3"/>
      <c r="U957" s="4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2"/>
      <c r="S958" s="3"/>
      <c r="T958" s="3"/>
      <c r="U958" s="4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2"/>
      <c r="S959" s="3"/>
      <c r="T959" s="3"/>
      <c r="U959" s="4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2"/>
      <c r="S960" s="3"/>
      <c r="T960" s="3"/>
      <c r="U960" s="4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2"/>
      <c r="S961" s="3"/>
      <c r="T961" s="3"/>
      <c r="U961" s="4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2"/>
      <c r="S962" s="3"/>
      <c r="T962" s="3"/>
      <c r="U962" s="4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2"/>
      <c r="S963" s="3"/>
      <c r="T963" s="3"/>
      <c r="U963" s="4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2"/>
      <c r="S964" s="3"/>
      <c r="T964" s="3"/>
      <c r="U964" s="4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2"/>
      <c r="S965" s="3"/>
      <c r="T965" s="3"/>
      <c r="U965" s="4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2"/>
      <c r="S966" s="3"/>
      <c r="T966" s="3"/>
      <c r="U966" s="4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2"/>
      <c r="S967" s="3"/>
      <c r="T967" s="3"/>
      <c r="U967" s="4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2"/>
      <c r="S968" s="3"/>
      <c r="T968" s="3"/>
      <c r="U968" s="4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2"/>
      <c r="S969" s="3"/>
      <c r="T969" s="3"/>
      <c r="U969" s="4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2"/>
      <c r="S970" s="3"/>
      <c r="T970" s="3"/>
      <c r="U970" s="4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2"/>
      <c r="S971" s="3"/>
      <c r="T971" s="3"/>
      <c r="U971" s="4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2"/>
      <c r="S972" s="3"/>
      <c r="T972" s="3"/>
      <c r="U972" s="4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2"/>
      <c r="S973" s="3"/>
      <c r="T973" s="3"/>
      <c r="U973" s="4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2"/>
      <c r="S974" s="3"/>
      <c r="T974" s="3"/>
      <c r="U974" s="4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2"/>
      <c r="S975" s="3"/>
      <c r="T975" s="3"/>
      <c r="U975" s="4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2"/>
      <c r="S976" s="3"/>
      <c r="T976" s="3"/>
      <c r="U976" s="4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2"/>
      <c r="S977" s="3"/>
      <c r="T977" s="3"/>
      <c r="U977" s="4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2"/>
      <c r="S978" s="3"/>
      <c r="T978" s="3"/>
      <c r="U978" s="4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2"/>
      <c r="S979" s="3"/>
      <c r="T979" s="3"/>
      <c r="U979" s="4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2"/>
      <c r="S980" s="3"/>
      <c r="T980" s="3"/>
      <c r="U980" s="4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2"/>
      <c r="S981" s="3"/>
      <c r="T981" s="3"/>
      <c r="U981" s="4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2"/>
      <c r="S982" s="3"/>
      <c r="T982" s="3"/>
      <c r="U982" s="4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2"/>
      <c r="S983" s="3"/>
      <c r="T983" s="3"/>
      <c r="U983" s="4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2"/>
      <c r="S984" s="3"/>
      <c r="T984" s="3"/>
      <c r="U984" s="4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2"/>
      <c r="S985" s="3"/>
      <c r="T985" s="3"/>
      <c r="U985" s="4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2"/>
      <c r="S986" s="3"/>
      <c r="T986" s="3"/>
      <c r="U986" s="4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2"/>
      <c r="S987" s="3"/>
      <c r="T987" s="3"/>
      <c r="U987" s="4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2"/>
      <c r="S988" s="3"/>
      <c r="T988" s="3"/>
      <c r="U988" s="4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2"/>
      <c r="S989" s="3"/>
      <c r="T989" s="3"/>
      <c r="U989" s="4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2"/>
      <c r="S990" s="3"/>
      <c r="T990" s="3"/>
      <c r="U990" s="4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2"/>
      <c r="S991" s="3"/>
      <c r="T991" s="3"/>
      <c r="U991" s="4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2"/>
      <c r="S992" s="3"/>
      <c r="T992" s="3"/>
      <c r="U992" s="4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2"/>
      <c r="S993" s="3"/>
      <c r="T993" s="3"/>
      <c r="U993" s="4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2"/>
      <c r="S994" s="3"/>
      <c r="T994" s="3"/>
      <c r="U994" s="4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2"/>
      <c r="S995" s="3"/>
      <c r="T995" s="3"/>
      <c r="U995" s="4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2"/>
      <c r="S996" s="3"/>
      <c r="T996" s="3"/>
      <c r="U996" s="4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2"/>
      <c r="S997" s="3"/>
      <c r="T997" s="3"/>
      <c r="U997" s="4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2"/>
      <c r="S998" s="3"/>
      <c r="T998" s="3"/>
      <c r="U998" s="4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2"/>
      <c r="S999" s="3"/>
      <c r="T999" s="3"/>
      <c r="U999" s="4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2"/>
      <c r="S1000" s="3"/>
      <c r="T1000" s="3"/>
      <c r="U1000" s="4"/>
      <c r="V1000" s="1"/>
      <c r="W1000" s="1"/>
      <c r="X1000" s="1"/>
      <c r="Y1000" s="1"/>
      <c r="Z1000" s="1"/>
    </row>
  </sheetData>
  <mergeCells count="99">
    <mergeCell ref="C3:Q4"/>
    <mergeCell ref="S3:T8"/>
    <mergeCell ref="C6:G6"/>
    <mergeCell ref="M6:Q6"/>
    <mergeCell ref="C7:G7"/>
    <mergeCell ref="M7:Q7"/>
    <mergeCell ref="M8:Q8"/>
    <mergeCell ref="N14:N15"/>
    <mergeCell ref="O14:O15"/>
    <mergeCell ref="P14:P15"/>
    <mergeCell ref="Q14:Q15"/>
    <mergeCell ref="N12:N13"/>
    <mergeCell ref="N16:N17"/>
    <mergeCell ref="O16:O17"/>
    <mergeCell ref="P16:P17"/>
    <mergeCell ref="R16:R17"/>
    <mergeCell ref="S16:S17"/>
    <mergeCell ref="T16:T20"/>
    <mergeCell ref="U16:U20"/>
    <mergeCell ref="Q16:Q17"/>
    <mergeCell ref="D18:L18"/>
    <mergeCell ref="D19:L19"/>
    <mergeCell ref="D20:L20"/>
    <mergeCell ref="D23:L23"/>
    <mergeCell ref="D24:L24"/>
    <mergeCell ref="C26:C30"/>
    <mergeCell ref="D26:L27"/>
    <mergeCell ref="M26:M30"/>
    <mergeCell ref="N26:N27"/>
    <mergeCell ref="O26:O27"/>
    <mergeCell ref="D30:L30"/>
    <mergeCell ref="D28:L28"/>
    <mergeCell ref="D29:L29"/>
    <mergeCell ref="C31:C35"/>
    <mergeCell ref="D31:L32"/>
    <mergeCell ref="M31:M35"/>
    <mergeCell ref="N31:N32"/>
    <mergeCell ref="O31:O32"/>
    <mergeCell ref="D35:L35"/>
    <mergeCell ref="J36:L36"/>
    <mergeCell ref="O36:P36"/>
    <mergeCell ref="J38:L39"/>
    <mergeCell ref="M38:M39"/>
    <mergeCell ref="N38:O39"/>
    <mergeCell ref="P38:Q39"/>
    <mergeCell ref="J42:L43"/>
    <mergeCell ref="M42:M43"/>
    <mergeCell ref="N42:O43"/>
    <mergeCell ref="P42:Q43"/>
    <mergeCell ref="C44:I45"/>
    <mergeCell ref="J44:M45"/>
    <mergeCell ref="N44:Q45"/>
    <mergeCell ref="C47:Q47"/>
    <mergeCell ref="C53:Q53"/>
    <mergeCell ref="C59:Q59"/>
    <mergeCell ref="C65:Q65"/>
    <mergeCell ref="L69:M69"/>
    <mergeCell ref="C38:I39"/>
    <mergeCell ref="C40:I41"/>
    <mergeCell ref="J40:L41"/>
    <mergeCell ref="M40:M41"/>
    <mergeCell ref="N40:O41"/>
    <mergeCell ref="P40:Q41"/>
    <mergeCell ref="C42:I43"/>
    <mergeCell ref="C10:L15"/>
    <mergeCell ref="D16:L17"/>
    <mergeCell ref="M10:M15"/>
    <mergeCell ref="N10:Q11"/>
    <mergeCell ref="O12:O13"/>
    <mergeCell ref="P12:P13"/>
    <mergeCell ref="Q12:Q13"/>
    <mergeCell ref="C16:C20"/>
    <mergeCell ref="M16:M20"/>
    <mergeCell ref="R21:R22"/>
    <mergeCell ref="S21:S22"/>
    <mergeCell ref="T21:T25"/>
    <mergeCell ref="U21:U25"/>
    <mergeCell ref="C21:C25"/>
    <mergeCell ref="D21:L22"/>
    <mergeCell ref="M21:M25"/>
    <mergeCell ref="N21:N22"/>
    <mergeCell ref="O21:O22"/>
    <mergeCell ref="P21:P22"/>
    <mergeCell ref="Q21:Q22"/>
    <mergeCell ref="D25:L25"/>
    <mergeCell ref="P26:P27"/>
    <mergeCell ref="Q26:Q27"/>
    <mergeCell ref="R26:R27"/>
    <mergeCell ref="S26:S27"/>
    <mergeCell ref="T26:T30"/>
    <mergeCell ref="U26:U30"/>
    <mergeCell ref="P31:P32"/>
    <mergeCell ref="Q31:Q32"/>
    <mergeCell ref="R31:R32"/>
    <mergeCell ref="S31:S32"/>
    <mergeCell ref="T31:T35"/>
    <mergeCell ref="U31:U35"/>
    <mergeCell ref="D33:L33"/>
    <mergeCell ref="D34:L34"/>
  </mergeCells>
  <conditionalFormatting sqref="J38:O39">
    <cfRule type="cellIs" dxfId="0" priority="1" operator="equal">
      <formula>0</formula>
    </cfRule>
  </conditionalFormatting>
  <conditionalFormatting sqref="J38:O39">
    <cfRule type="cellIs" dxfId="1" priority="2" operator="equal">
      <formula>0</formula>
    </cfRule>
  </conditionalFormatting>
  <conditionalFormatting sqref="J38:L39">
    <cfRule type="cellIs" dxfId="2" priority="3" operator="equal">
      <formula>0</formula>
    </cfRule>
  </conditionalFormatting>
  <conditionalFormatting sqref="M38:M39">
    <cfRule type="cellIs" dxfId="3" priority="4" operator="equal">
      <formula>0</formula>
    </cfRule>
  </conditionalFormatting>
  <conditionalFormatting sqref="M38:M39">
    <cfRule type="cellIs" dxfId="3" priority="5" operator="equal">
      <formula>0</formula>
    </cfRule>
  </conditionalFormatting>
  <conditionalFormatting sqref="N38:O39">
    <cfRule type="cellIs" dxfId="4" priority="6" operator="equal">
      <formula>0</formula>
    </cfRule>
  </conditionalFormatting>
  <conditionalFormatting sqref="P38:Q39">
    <cfRule type="cellIs" dxfId="0" priority="7" operator="equal">
      <formula>0</formula>
    </cfRule>
  </conditionalFormatting>
  <conditionalFormatting sqref="P38:Q39">
    <cfRule type="cellIs" dxfId="1" priority="8" operator="equal">
      <formula>0</formula>
    </cfRule>
  </conditionalFormatting>
  <conditionalFormatting sqref="P38:Q39">
    <cfRule type="cellIs" dxfId="4" priority="9" operator="equal">
      <formula>0</formula>
    </cfRule>
  </conditionalFormatting>
  <conditionalFormatting sqref="Q36">
    <cfRule type="notContainsBlanks" dxfId="5" priority="10">
      <formula>LEN(TRIM(Q36))&gt;0</formula>
    </cfRule>
  </conditionalFormatting>
  <conditionalFormatting sqref="N16:Q17">
    <cfRule type="expression" dxfId="6" priority="11">
      <formula>if($N16:Q17, TRUE, FALSE)</formula>
    </cfRule>
  </conditionalFormatting>
  <dataValidations>
    <dataValidation type="custom" allowBlank="1" showInputMessage="1" showErrorMessage="1" prompt="Exceed Limitation - Please enter 40 characters only." sqref="H6:J6">
      <formula1>LTE(LEN(H6),(40))</formula1>
    </dataValidation>
  </dataValidations>
  <printOptions/>
  <pageMargins bottom="0.7480314960629921" footer="0.0" header="0.0" left="0.5118110236220472" right="0.0" top="0.7480314960629921"/>
  <pageSetup paperSize="9" scale="80" orientation="portrait"/>
  <drawing r:id="rId1"/>
</worksheet>
</file>